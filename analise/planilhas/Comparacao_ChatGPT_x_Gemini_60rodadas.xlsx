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eado" sheetId="2" state="visible" r:id="rId4"/>
    <sheet name="Consolidado" sheetId="3" state="visible" r:id="rId5"/>
    <sheet name="Assistida (ref.)" sheetId="4" state="visible" r:id="rId6"/>
    <sheet name="Bugs plantados" sheetId="5" state="visible" r:id="rId7"/>
    <sheet name="Assimetrias" sheetId="6" state="visible" r:id="rId8"/>
    <sheet name="Perguntas" sheetId="7" state="visible" r:id="rId9"/>
  </sheets>
  <definedNames>
    <definedName function="false" hidden="true" localSheetId="1" name="_xlnm._FilterDatabase" vbProcedure="false">Pareado!$A$1:$AG$65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<sst xmlns="http://schemas.openxmlformats.org/spreadsheetml/2006/main" count="1476" uniqueCount="371">
  <si>
    <t xml:space="preserve">ChatGPT (GPT-5.6 Luna, deslogado) × Gemini 3.8 Flash (logado) — 60 rodadas pareadas + 4 reexecuções, mesmo protocolo de reparo</t>
  </si>
  <si>
    <t xml:space="preserve">Fontes: fase2/ (42 limpas + 7 bugs originais), fase2-chatgpt-reexec/ (15 bugs reexecutados em 2026-09-24 com reparo fixo), fase2-gemini-consolidado. Pass/fail final cruzado com a última saída de flutter test nos três conjuntos: 0 divergências. Os 39 prompts de reparo da reexecução foram conferidos: só o template + saída do terminal.</t>
  </si>
  <si>
    <t xml:space="preserve">Regras de contagem (iguais para os dois modelos)</t>
  </si>
  <si>
    <t xml:space="preserve">1. As 60 usam os prompts ORIGINAIS de W-SILENT-FS e I-CRASH-{ZS,FS,COT}; as 4 _REEXEC (prompt corrigido) ficam fora e aparecem em bloco próprio. A planilha Fase2_Consolidado_60rodadas.xlsx do autor conta o inverso — alinhar.</t>
  </si>
  <si>
    <t xml:space="preserve">2. formatName em grupo próprio. Limpo = 39 (21+9+9). Bug plantado = 18.</t>
  </si>
  <si>
    <t xml:space="preserve">3. "Passando (final)" = estado arquivado após a última iteração; arquivo que não compila = 0 passando e "Estado final" ≠ executa. "Taxa (executados)" = passando ÷ (passando + falhando) só quando o arquivo executa; senão 0. "Gerados" = contagem da geração inicial (volume).</t>
  </si>
  <si>
    <t xml:space="preserve">4. Lado ChatGPT: 15 rodadas de bug vêm da reexecução com reparo fixo (coluna "GPT execução"); as 7 de bug e as 42 limpas são da execução original. Nas 42 limpas, 3 rodadas tiveram contexto extra no reparo a pedido do modelo (WIDGET-ZS-02, WIDGET-COT-01, INT-FS-01) — coluna "GPT dica operador". A execução assistida das 15 está em fase2/_execucao-assistida/ e na aba "Assistida (ref.)"; não entra na comparação.</t>
  </si>
  <si>
    <t xml:space="preserve">5. Detecção dos bugs plantados codificada de forma uniforme nos dois modelos, pelo código e pelas respostas literais: Capturou (teste falha com o bug e é mantido) · Caracterizou com alerta (asserção fixa o comportamento defeituoso E a resposta o chama de defeito/suspeito) · Viu sem asserção (mencionou; nenhuma asserção toca o bug) · Canonizou sem alerta (asserção fixa o defeito, sem menção) · Não viu. "(C) com asserção" dos docs unitários = Caracterizou com alerta.</t>
  </si>
  <si>
    <t xml:space="preserve">Abas</t>
  </si>
  <si>
    <t xml:space="preserve">Pareado — uma linha por rodada, os dois modelos lado a lado. Consolidado — fórmulas sobre Pareado. Bugs plantados — 6 bugs × 3 estratégias × 2 modelos. Assistida (ref.) — as 15 rodadas na execução assistida × reexecução, só para as limitações. Assimetrias — o que ainda difere entre as execuções. Perguntas — as 8 perguntas da comparação.</t>
  </si>
  <si>
    <t xml:space="preserve">#</t>
  </si>
  <si>
    <t xml:space="preserve">ID</t>
  </si>
  <si>
    <t xml:space="preserve">Nível</t>
  </si>
  <si>
    <t xml:space="preserve">Estratégia</t>
  </si>
  <si>
    <t xml:space="preserve">Alvo</t>
  </si>
  <si>
    <t xml:space="preserve">Grupo</t>
  </si>
  <si>
    <t xml:space="preserve">Bug</t>
  </si>
  <si>
    <t xml:space="preserve">GPT execução</t>
  </si>
  <si>
    <t xml:space="preserve">GPT gerados</t>
  </si>
  <si>
    <t xml:space="preserve">GPT passando</t>
  </si>
  <si>
    <t xml:space="preserve">GPT falhando</t>
  </si>
  <si>
    <t xml:space="preserve">GPT taxa (executados)</t>
  </si>
  <si>
    <t xml:space="preserve">GPT iter</t>
  </si>
  <si>
    <t xml:space="preserve">GPT compilou 1ª</t>
  </si>
  <si>
    <t xml:space="preserve">GPT estado final</t>
  </si>
  <si>
    <t xml:space="preserve">GPT dica operador</t>
  </si>
  <si>
    <t xml:space="preserve">GPT classes</t>
  </si>
  <si>
    <t xml:space="preserve">GPT detecção</t>
  </si>
  <si>
    <t xml:space="preserve">GEM gerados</t>
  </si>
  <si>
    <t xml:space="preserve">GEM passando</t>
  </si>
  <si>
    <t xml:space="preserve">GEM falhando</t>
  </si>
  <si>
    <t xml:space="preserve">GEM taxa (executados)</t>
  </si>
  <si>
    <t xml:space="preserve">GEM iter</t>
  </si>
  <si>
    <t xml:space="preserve">GEM compilou 1ª</t>
  </si>
  <si>
    <t xml:space="preserve">GEM estado final</t>
  </si>
  <si>
    <t xml:space="preserve">GEM tentativas</t>
  </si>
  <si>
    <t xml:space="preserve">GEM recusas</t>
  </si>
  <si>
    <t xml:space="preserve">GEM classes</t>
  </si>
  <si>
    <t xml:space="preserve">GEM detecção</t>
  </si>
  <si>
    <t xml:space="preserve">Δ gerados (GEM−GPT)</t>
  </si>
  <si>
    <t xml:space="preserve">Δ taxa (GEM−GPT)</t>
  </si>
  <si>
    <t xml:space="preserve">Quem gerou mais</t>
  </si>
  <si>
    <t xml:space="preserve">Quem aprovou mais</t>
  </si>
  <si>
    <t xml:space="preserve">FASE2-UCRASH-ZS</t>
  </si>
  <si>
    <t xml:space="preserve">Unitário</t>
  </si>
  <si>
    <t xml:space="preserve">ZS</t>
  </si>
  <si>
    <t xml:space="preserve">capitalize</t>
  </si>
  <si>
    <t xml:space="preserve">Bug plantado</t>
  </si>
  <si>
    <t xml:space="preserve">U-CRASH</t>
  </si>
  <si>
    <t xml:space="preserve">original</t>
  </si>
  <si>
    <t xml:space="preserve">Sim</t>
  </si>
  <si>
    <t xml:space="preserve">executa</t>
  </si>
  <si>
    <t xml:space="preserve">Não</t>
  </si>
  <si>
    <t xml:space="preserve">(C)</t>
  </si>
  <si>
    <t xml:space="preserve">(C) com asserção</t>
  </si>
  <si>
    <t xml:space="preserve">FASE2-UCRASH-FS</t>
  </si>
  <si>
    <t xml:space="preserve">FS</t>
  </si>
  <si>
    <t xml:space="preserve">(B)</t>
  </si>
  <si>
    <t xml:space="preserve">(B) exposto por falha</t>
  </si>
  <si>
    <t xml:space="preserve">(C) só em prosa</t>
  </si>
  <si>
    <t xml:space="preserve">FASE2-UCRASH-COT</t>
  </si>
  <si>
    <t xml:space="preserve">COT</t>
  </si>
  <si>
    <t xml:space="preserve">FASE2-USILENT-ZS</t>
  </si>
  <si>
    <t xml:space="preserve">validateSenha</t>
  </si>
  <si>
    <t xml:space="preserve">U-SILENT</t>
  </si>
  <si>
    <t xml:space="preserve">FASE2-USILENT-FS</t>
  </si>
  <si>
    <t xml:space="preserve">FASE2-USILENT-COT</t>
  </si>
  <si>
    <t xml:space="preserve">FASE2-WCRASH-ZS</t>
  </si>
  <si>
    <t xml:space="preserve">Widget</t>
  </si>
  <si>
    <t xml:space="preserve">CriarPlaylistScreen</t>
  </si>
  <si>
    <t xml:space="preserve">W-CRASH</t>
  </si>
  <si>
    <t xml:space="preserve">—</t>
  </si>
  <si>
    <t xml:space="preserve">Não detectado</t>
  </si>
  <si>
    <t xml:space="preserve">FASE2-WCRASH-FS</t>
  </si>
  <si>
    <t xml:space="preserve">reexecução 2026-09-24 (reparo fixo)</t>
  </si>
  <si>
    <t xml:space="preserve">não compila</t>
  </si>
  <si>
    <t xml:space="preserve">(A); (A); (A)</t>
  </si>
  <si>
    <t xml:space="preserve">FASE2-WCRASH-COT</t>
  </si>
  <si>
    <t xml:space="preserve">FASE2-WSILENT-ZS</t>
  </si>
  <si>
    <t xml:space="preserve">LoginScreen</t>
  </si>
  <si>
    <t xml:space="preserve">W-SILENT</t>
  </si>
  <si>
    <t xml:space="preserve">(C) geração; (A); (A); (A)</t>
  </si>
  <si>
    <t xml:space="preserve">Caracterização com alerta</t>
  </si>
  <si>
    <t xml:space="preserve">(A); (B)</t>
  </si>
  <si>
    <t xml:space="preserve">Canonizado</t>
  </si>
  <si>
    <t xml:space="preserve">FASE2-WSILENT-FS</t>
  </si>
  <si>
    <t xml:space="preserve">Caracterização com alerta (código nunca rodou)</t>
  </si>
  <si>
    <t xml:space="preserve">(A); (A)</t>
  </si>
  <si>
    <t xml:space="preserve">Canonizado (sobre cópia)</t>
  </si>
  <si>
    <t xml:space="preserve">FASE2-WSILENT-COT</t>
  </si>
  <si>
    <t xml:space="preserve">FASE2-ICRASH-ZS</t>
  </si>
  <si>
    <t xml:space="preserve">Integração</t>
  </si>
  <si>
    <t xml:space="preserve">GenerosCadastroScreen</t>
  </si>
  <si>
    <t xml:space="preserve">I-CRASH</t>
  </si>
  <si>
    <t xml:space="preserve">(A); (A); (A)+(B)</t>
  </si>
  <si>
    <t xml:space="preserve">Visto; (B) correto; teste acomoda (não captura)</t>
  </si>
  <si>
    <t xml:space="preserve">(A); (A); (B)</t>
  </si>
  <si>
    <t xml:space="preserve">Não detectado (teste não escrito)</t>
  </si>
  <si>
    <t xml:space="preserve">FASE2-ICRASH-FS</t>
  </si>
  <si>
    <t xml:space="preserve">FASE2-ICRASH-COT</t>
  </si>
  <si>
    <t xml:space="preserve">Canonizado (findsNothing no SnackBar)</t>
  </si>
  <si>
    <t xml:space="preserve">Canonizado (exercitado; asserção exige o TypeError)</t>
  </si>
  <si>
    <t xml:space="preserve">FASE2-ISILENT-ZS</t>
  </si>
  <si>
    <t xml:space="preserve">I-SILENT</t>
  </si>
  <si>
    <t xml:space="preserve">(A)</t>
  </si>
  <si>
    <t xml:space="preserve">Visto em prosa, não testado</t>
  </si>
  <si>
    <t xml:space="preserve">FASE2-ISILENT-FS</t>
  </si>
  <si>
    <t xml:space="preserve">FASE2-ISILENT-COT</t>
  </si>
  <si>
    <t xml:space="preserve">Canonizado (reforçado: isNot(nome digitado))</t>
  </si>
  <si>
    <t xml:space="preserve">FASE2-UNIT-ZS-01_validateNome</t>
  </si>
  <si>
    <t xml:space="preserve">validateNome</t>
  </si>
  <si>
    <t xml:space="preserve">Limpo</t>
  </si>
  <si>
    <t xml:space="preserve">FASE2-UNIT-FS-01_validateNome</t>
  </si>
  <si>
    <t xml:space="preserve">FASE2-UNIT-COT-01_validateNome</t>
  </si>
  <si>
    <t xml:space="preserve">FASE2-UNIT-ZS-03_validateNumero</t>
  </si>
  <si>
    <t xml:space="preserve">validateNumero</t>
  </si>
  <si>
    <t xml:space="preserve">FASE2-UNIT-FS-03_validateNumero</t>
  </si>
  <si>
    <t xml:space="preserve">FASE2-UNIT-COT-03_validateNumero</t>
  </si>
  <si>
    <t xml:space="preserve">FASE2-UNIT-ZS-04_validateCEP</t>
  </si>
  <si>
    <t xml:space="preserve">validateCEP</t>
  </si>
  <si>
    <t xml:space="preserve">FASE2-UNIT-FS-04_validateCEP</t>
  </si>
  <si>
    <t xml:space="preserve">FASE2-UNIT-COT-04_validateCEP</t>
  </si>
  <si>
    <t xml:space="preserve">FASE2-UNIT-ZS-05_validateEmail</t>
  </si>
  <si>
    <t xml:space="preserve">validateEmail</t>
  </si>
  <si>
    <t xml:space="preserve">FASE2-UNIT-FS-05_validateEmail</t>
  </si>
  <si>
    <t xml:space="preserve">FASE2-UNIT-COT-05_validateEmail</t>
  </si>
  <si>
    <t xml:space="preserve">FASE2-UNIT-ZS-06_validateEmailLogin</t>
  </si>
  <si>
    <t xml:space="preserve">validateEmailLogin</t>
  </si>
  <si>
    <t xml:space="preserve">FASE2-UNIT-FS-06_validateEmailLogin</t>
  </si>
  <si>
    <t xml:space="preserve">FASE2-UNIT-COT-06_validateEmailLogin</t>
  </si>
  <si>
    <t xml:space="preserve">FASE2-UNIT-ZS-07_validateEmailEdit</t>
  </si>
  <si>
    <t xml:space="preserve">validateEmailEdit</t>
  </si>
  <si>
    <t xml:space="preserve">FASE2-UNIT-FS-07_validateEmailEdit</t>
  </si>
  <si>
    <t xml:space="preserve">FASE2-UNIT-COT-07_validateEmailEdit</t>
  </si>
  <si>
    <t xml:space="preserve">FASE2-UNIT-ZS-08_formatName</t>
  </si>
  <si>
    <t xml:space="preserve">formatName</t>
  </si>
  <si>
    <t xml:space="preserve">formatName (bug nativo)</t>
  </si>
  <si>
    <t xml:space="preserve">RangeError caracterizado com alerta</t>
  </si>
  <si>
    <t xml:space="preserve">FASE2-UNIT-FS-08_formatName</t>
  </si>
  <si>
    <t xml:space="preserve">(C) parcial</t>
  </si>
  <si>
    <t xml:space="preserve">RangeError só em prosa</t>
  </si>
  <si>
    <t xml:space="preserve">FASE2-UNIT-COT-08_formatName</t>
  </si>
  <si>
    <t xml:space="preserve">FASE2-UNIT-ZS-10_validateDate</t>
  </si>
  <si>
    <t xml:space="preserve">validateDate</t>
  </si>
  <si>
    <t xml:space="preserve">FASE2-UNIT-FS-10_validateDate</t>
  </si>
  <si>
    <t xml:space="preserve">FASE2-UNIT-COT-10_validateDate</t>
  </si>
  <si>
    <t xml:space="preserve">FASE2-WIDGET-ZS-01_CadastroScreen</t>
  </si>
  <si>
    <t xml:space="preserve">CadastroScreen</t>
  </si>
  <si>
    <t xml:space="preserve">FASE2-WIDGET-FS-01_CadastroScreen</t>
  </si>
  <si>
    <t xml:space="preserve">FASE2-WIDGET-COT-01_CadastroScreen</t>
  </si>
  <si>
    <t xml:space="preserve">FASE2-WIDGET-ZS-02_LoginScreen</t>
  </si>
  <si>
    <t xml:space="preserve">(B)+(A); (A)</t>
  </si>
  <si>
    <t xml:space="preserve">(B)+(A); (A); (A)</t>
  </si>
  <si>
    <t xml:space="preserve">FASE2-WIDGET-FS-02_LoginScreen</t>
  </si>
  <si>
    <t xml:space="preserve">(B)+(A)</t>
  </si>
  <si>
    <t xml:space="preserve">FASE2-WIDGET-COT-02_LoginScreen</t>
  </si>
  <si>
    <t xml:space="preserve">(A); (A)+(B); (B)</t>
  </si>
  <si>
    <t xml:space="preserve">FASE2-WIDGET-ZS-03_CriarPlaylistScreen</t>
  </si>
  <si>
    <t xml:space="preserve">FASE2-WIDGET-FS-03_CriarPlaylistScreen</t>
  </si>
  <si>
    <t xml:space="preserve">(A); (A)+(B); (A)+(B)</t>
  </si>
  <si>
    <t xml:space="preserve">Achou o defeito nativo do artist_name (W-CRASH real)</t>
  </si>
  <si>
    <t xml:space="preserve">FASE2-WIDGET-COT-03_CriarPlaylistScreen</t>
  </si>
  <si>
    <t xml:space="preserve">FASE2-INT-ZS-01_loginFlow</t>
  </si>
  <si>
    <t xml:space="preserve">loginFlow</t>
  </si>
  <si>
    <t xml:space="preserve">FASE2-INT-FS-01_loginFlow</t>
  </si>
  <si>
    <t xml:space="preserve">(A); (B); (B)</t>
  </si>
  <si>
    <t xml:space="preserve">FASE2-INT-COT-01_loginFlow</t>
  </si>
  <si>
    <t xml:space="preserve">não carrega</t>
  </si>
  <si>
    <t xml:space="preserve">FASE2-INT-ZS-02_cadastroFlow</t>
  </si>
  <si>
    <t xml:space="preserve">cadastroFlow</t>
  </si>
  <si>
    <t xml:space="preserve">FASE2-INT-FS-02_cadastroFlow</t>
  </si>
  <si>
    <t xml:space="preserve">FASE2-INT-COT-02_cadastroFlow</t>
  </si>
  <si>
    <t xml:space="preserve">(B); (A); (A)</t>
  </si>
  <si>
    <t xml:space="preserve">FASE2-INT-ZS-03_playlistFlow</t>
  </si>
  <si>
    <t xml:space="preserve">playlistFlow</t>
  </si>
  <si>
    <t xml:space="preserve">FASE2-INT-FS-03_playlistFlow</t>
  </si>
  <si>
    <t xml:space="preserve">FASE2-INT-COT-03_playlistFlow</t>
  </si>
  <si>
    <t xml:space="preserve">FASE2-ICRASH-COT_REEXEC</t>
  </si>
  <si>
    <t xml:space="preserve">REEXEC</t>
  </si>
  <si>
    <t xml:space="preserve">(B) exposto por falha (acidental); teste dedicado canoniza</t>
  </si>
  <si>
    <t xml:space="preserve">Canonizado (exercitado)</t>
  </si>
  <si>
    <t xml:space="preserve">FASE2-ICRASH-FS_REEXEC</t>
  </si>
  <si>
    <t xml:space="preserve">(A); (B)→(A)</t>
  </si>
  <si>
    <t xml:space="preserve">FASE2-ICRASH-ZS_REEXEC</t>
  </si>
  <si>
    <t xml:space="preserve">(B) exposto por falha, capturado por asserção</t>
  </si>
  <si>
    <t xml:space="preserve">não executada</t>
  </si>
  <si>
    <t xml:space="preserve">n/a</t>
  </si>
  <si>
    <t xml:space="preserve">FASE2-WSILENT-FS_REEXEC</t>
  </si>
  <si>
    <t xml:space="preserve">Canonizado (sem menção)</t>
  </si>
  <si>
    <t xml:space="preserve">Consolidado comparativo — fórmulas sobre a aba Pareado (REEXEC excluídas). Taxa = passando ÷ (passando + falhando) nas rodadas que executam.</t>
  </si>
  <si>
    <t xml:space="preserve">Rodadas</t>
  </si>
  <si>
    <t xml:space="preserve">GPT 100% verdes</t>
  </si>
  <si>
    <t xml:space="preserve">GPT iterações</t>
  </si>
  <si>
    <t xml:space="preserve">GPT no máx.</t>
  </si>
  <si>
    <t xml:space="preserve">GPT não compila</t>
  </si>
  <si>
    <t xml:space="preserve">GPT c/ dica</t>
  </si>
  <si>
    <t xml:space="preserve">GEM 100% verdes</t>
  </si>
  <si>
    <t xml:space="preserve">GEM iterações</t>
  </si>
  <si>
    <t xml:space="preserve">GEM no máx.</t>
  </si>
  <si>
    <t xml:space="preserve">GEM não compila</t>
  </si>
  <si>
    <t xml:space="preserve">GPT gerou mais</t>
  </si>
  <si>
    <t xml:space="preserve">Empate</t>
  </si>
  <si>
    <t xml:space="preserve">GEM gerou mais</t>
  </si>
  <si>
    <t xml:space="preserve">GPT taxa maior</t>
  </si>
  <si>
    <t xml:space="preserve">Taxa igual</t>
  </si>
  <si>
    <t xml:space="preserve">GEM taxa maior</t>
  </si>
  <si>
    <t xml:space="preserve">Todas</t>
  </si>
  <si>
    <t xml:space="preserve">Todos</t>
  </si>
  <si>
    <t xml:space="preserve">As 15 rodadas de bug do ChatGPT: execução assistida (reparo enriquecido, fora da comparação) × reexecução (reparo fixo, na comparação). Para as limitações.</t>
  </si>
  <si>
    <t xml:space="preserve">Assist. gerados</t>
  </si>
  <si>
    <t xml:space="preserve">Assist. passando</t>
  </si>
  <si>
    <t xml:space="preserve">Assist. falhando</t>
  </si>
  <si>
    <t xml:space="preserve">Assist. estado</t>
  </si>
  <si>
    <t xml:space="preserve">Assist. iter</t>
  </si>
  <si>
    <t xml:space="preserve">Assist. detecção</t>
  </si>
  <si>
    <t xml:space="preserve">Reexec gerados</t>
  </si>
  <si>
    <t xml:space="preserve">Reexec passando</t>
  </si>
  <si>
    <t xml:space="preserve">Reexec falhando</t>
  </si>
  <si>
    <t xml:space="preserve">Reexec estado</t>
  </si>
  <si>
    <t xml:space="preserve">Reexec iter</t>
  </si>
  <si>
    <t xml:space="preserve">Reexec detecção</t>
  </si>
  <si>
    <t xml:space="preserve">O que o operador tinha fornecido</t>
  </si>
  <si>
    <t xml:space="preserve">nome real do arquivo e origem de Timestamp (it.1)</t>
  </si>
  <si>
    <t xml:space="preserve">nota de contradição (it.2), classificação individual e aviso de última iteração (it.3)</t>
  </si>
  <si>
    <t xml:space="preserve">(C) espontâneo com alerta</t>
  </si>
  <si>
    <t xml:space="preserve">pergunta sobre correção viável sem alterar tela-inicial.dart (it.3); setUpAll revertido pelo operador</t>
  </si>
  <si>
    <t xml:space="preserve">assinatura real do mock + mock_exceptions (it.1), achado de rodada anterior (it.2), correção ditada (it.3)</t>
  </si>
  <si>
    <t xml:space="preserve">Canonizado (menção só após apontado, hesitante)</t>
  </si>
  <si>
    <t xml:space="preserve">assinaturas reais e técnicas (it.1), limitação conhecida (it.2), correção ditada (it.3)</t>
  </si>
  <si>
    <t xml:space="preserve">(B) exposto por falha + menção espontânea</t>
  </si>
  <si>
    <t xml:space="preserve">dev_dependencies (it.2); Switch e viewport verificados no código (it.3)</t>
  </si>
  <si>
    <t xml:space="preserve">build() real e viewport (it.1), hipóteses (it.2), causas exatas e setSurfaceSize (it.3)</t>
  </si>
  <si>
    <t xml:space="preserve">API real do mock e Switch (it.1); os 10 campos reais (it.2); diagnósticos e asserção ditada (it.3)</t>
  </si>
  <si>
    <t xml:space="preserve">import faltante nomeado</t>
  </si>
  <si>
    <t xml:space="preserve">nome real do arquivo</t>
  </si>
  <si>
    <t xml:space="preserve">ajuste apontado (remover criarApp, import firebase_auth)</t>
  </si>
  <si>
    <t xml:space="preserve">caminho real lib/login.dart (it.2)</t>
  </si>
  <si>
    <t xml:space="preserve">versão pinada (it.1), viewport/appWith (it.2), detalhe do dropdown (it.3)</t>
  </si>
  <si>
    <t xml:space="preserve">técnica de viewport da rodada irmã, preventivamente</t>
  </si>
  <si>
    <t xml:space="preserve">rótulos reais dos campos, UID dinâmico, diagnósticos</t>
  </si>
  <si>
    <t xml:space="preserve">Totais (15)</t>
  </si>
  <si>
    <t xml:space="preserve">Detecção dos 6 bugs plantados — codificação uniforme (ver Leia-me, item 5). Formato: ChatGPT | Gemini</t>
  </si>
  <si>
    <t xml:space="preserve">ZS — ChatGPT</t>
  </si>
  <si>
    <t xml:space="preserve">ZS — Gemini</t>
  </si>
  <si>
    <t xml:space="preserve">FS — ChatGPT</t>
  </si>
  <si>
    <t xml:space="preserve">FS — Gemini</t>
  </si>
  <si>
    <t xml:space="preserve">COT — ChatGPT</t>
  </si>
  <si>
    <t xml:space="preserve">COT — Gemini</t>
  </si>
  <si>
    <t xml:space="preserve">ChatGPT: capturou/alertou</t>
  </si>
  <si>
    <t xml:space="preserve">Gemini: capturou/alertou</t>
  </si>
  <si>
    <t xml:space="preserve">Leitura</t>
  </si>
  <si>
    <t xml:space="preserve">Caracterizou c/ alerta 12/12</t>
  </si>
  <si>
    <t xml:space="preserve">Caracterizou c/ alerta 11/11</t>
  </si>
  <si>
    <t xml:space="preserve">Capturou (falha mantida) 5/6</t>
  </si>
  <si>
    <t xml:space="preserve">Viu sem asserção 6/6</t>
  </si>
  <si>
    <t xml:space="preserve">Caracterizou c/ alerta 10/10</t>
  </si>
  <si>
    <t xml:space="preserve">3/3</t>
  </si>
  <si>
    <t xml:space="preserve">2/3</t>
  </si>
  <si>
    <t xml:space="preserve">Igual, salvo FS: o ChatGPT escreveu o teste que dispara e o manteve falhando; o Gemini desviou das entradas.</t>
  </si>
  <si>
    <t xml:space="preserve">Caracterizou 12/12</t>
  </si>
  <si>
    <t xml:space="preserve">Caracterizou 7/7</t>
  </si>
  <si>
    <t xml:space="preserve">Caracterizou 6/6</t>
  </si>
  <si>
    <t xml:space="preserve">Caracterizou 5/5</t>
  </si>
  <si>
    <t xml:space="preserve">Caracterizou 14/14</t>
  </si>
  <si>
    <t xml:space="preserve">Caracterizou 8/8</t>
  </si>
  <si>
    <t xml:space="preserve">Idêntico. Incoerência local visível.</t>
  </si>
  <si>
    <t xml:space="preserve">Não viu 14/14 (viu I-SILENT vizinho)</t>
  </si>
  <si>
    <t xml:space="preserve">Não viu 5/5</t>
  </si>
  <si>
    <t xml:space="preserve">Não viu; não compila (viu I-SILENT)</t>
  </si>
  <si>
    <t xml:space="preserve">Não viu 3/5 (widget colado)</t>
  </si>
  <si>
    <t xml:space="preserve">Não viu 20/21 (viu I-SILENT)</t>
  </si>
  <si>
    <t xml:space="preserve">Não viu 9/9</t>
  </si>
  <si>
    <t xml:space="preserve">0/3</t>
  </si>
  <si>
    <t xml:space="preserve">Padrão do problema: nenhum dos 6 mockou documento sem artist_name na busca. Só o ChatGPT notou o bug vizinho (3/3).</t>
  </si>
  <si>
    <t xml:space="preserve">Caracterizou c/ alerta 7/8 (14 gerados)</t>
  </si>
  <si>
    <t xml:space="preserve">Canonizou s/ alerta 10/11</t>
  </si>
  <si>
    <t xml:space="preserve">Caracterizou c/ alerta; não compila</t>
  </si>
  <si>
    <t xml:space="preserve">Canonizou s/ alerta, s/ cópia 9/9</t>
  </si>
  <si>
    <t xml:space="preserve">Caracterizou c/ alerta; não compila (melhor 10/21)</t>
  </si>
  <si>
    <t xml:space="preserve">Canonizou s/ alerta 9/10</t>
  </si>
  <si>
    <t xml:space="preserve">3/3 viram; 0/3 capturaram</t>
  </si>
  <si>
    <t xml:space="preserve">0/3 viram; 0/3 capturaram</t>
  </si>
  <si>
    <t xml:space="preserve">Diferença consistente entre modelos, agora sem ajuda: o ChatGPT nomeou a inversão nas 3 (em todas as respostas) e mesmo assim fixou o par trocado; o Gemini fixou sem nomear, mesmo com o prompt que manda listar cada mensagem.</t>
  </si>
  <si>
    <t xml:space="preserve">Viu, (B) correto it.3, teste acomoda 1/6</t>
  </si>
  <si>
    <t xml:space="preserve">(B) confabulado; não viu 1/5</t>
  </si>
  <si>
    <t xml:space="preserve">Não viu; (B) errado 2/3</t>
  </si>
  <si>
    <t xml:space="preserve">(B) confabulado; não viu 1/4</t>
  </si>
  <si>
    <t xml:space="preserve">Canonizou s/ alerta (findsNothing) 2/14</t>
  </si>
  <si>
    <t xml:space="preserve">Canonizou (TypeError); (B) nomeia 2/6</t>
  </si>
  <si>
    <t xml:space="preserve">1/3 viu; 0/3 capturou</t>
  </si>
  <si>
    <t xml:space="preserve">1/3 nomeia; 0/3 capturou</t>
  </si>
  <si>
    <t xml:space="preserve">Prompt original com material divergente do app nos dois lados. Sem ajuda, nenhum dos dois exercitou o bug nas 3 originais. (B) errados: ChatGPT 1 (FS, sobre o mock), Gemini 2 (ZS/FS, sobre o material).</t>
  </si>
  <si>
    <t xml:space="preserve">Caracterizou c/ alerta 2/2</t>
  </si>
  <si>
    <t xml:space="preserve">Viu sem asserção 2/2</t>
  </si>
  <si>
    <t xml:space="preserve">Viu sem asserção; não compila</t>
  </si>
  <si>
    <t xml:space="preserve">Canonizou s/ alerta 4/4 (isNot(nome digitado))</t>
  </si>
  <si>
    <t xml:space="preserve">Canonizou s/ alerta 4/4</t>
  </si>
  <si>
    <t xml:space="preserve">2/3 viram; 0/3 capturaram</t>
  </si>
  <si>
    <t xml:space="preserve">Bug mais visto e menos pego nos dois. ChatGPT: 2 caracterizam com alerta, COT canoniza e proíbe o nome digitado. Gemini: ZS/FS omitem a asserção, COT canoniza.</t>
  </si>
  <si>
    <t xml:space="preserve">Totais (18 rodadas)</t>
  </si>
  <si>
    <t xml:space="preserve">ChatGPT: viu 12/18 (capturou 1, caracterizou c/ alerta 10, viu sem asserção 1); canonizou s/ alerta 2; não viu 4 (W-CRASH ×3, I-CRASH-FS). (B) sobre bug plantado: 1 correto (I-CRASH-ZS). (B) que não procedem: 1 (I-CRASH-FS).</t>
  </si>
  <si>
    <t xml:space="preserve">Gemini: viu 8/18 (caracterizou c/ alerta 5, viu sem asserção 3); canonizou s/ alerta 5; não viu 5 (W-CRASH ×3, I-CRASH ZS/FS). (B) sobre bug plantado: 1 correto (I-CRASH-COT). (B) que não procedem: 2 (I-CRASH ZS/FS).</t>
  </si>
  <si>
    <t xml:space="preserve">Enfraquecimento sob (B): 0 nos dois. Sob (A): Gemini 2, ChatGPT 0. Remoção de teste após (B): Gemini 1 (WIDGET-ZS-02); ChatGPT removeu o teste de navegação em W-SILENT-COT it.3 sob (A). "Trocar o sujeito do teste": Gemini 2 (W-CRASH-FS, W-SILENT-FS), ChatGPT 1 (W-SILENT-FS it.2, desfeito na it.3). REEXEC: ChatGPT capturou I-CRASH em ZS_REEXEC (intencional) e COT_REEXEC (acidental); Gemini canonizou em COT_REEXEC e perdeu a ZS_REEXEC por recusas.</t>
  </si>
  <si>
    <t xml:space="preserve">O que difere entre as duas execuções além do modelo — a declarar antes de qualquer comparação</t>
  </si>
  <si>
    <t xml:space="preserve">Dimensão</t>
  </si>
  <si>
    <t xml:space="preserve">ChatGPT (Fase 2)</t>
  </si>
  <si>
    <t xml:space="preserve">Gemini (réplica)</t>
  </si>
  <si>
    <t xml:space="preserve">Efeito provável</t>
  </si>
  <si>
    <t xml:space="preserve">Como tratar</t>
  </si>
  <si>
    <t xml:space="preserve">Prompt de reparo</t>
  </si>
  <si>
    <t xml:space="preserve">Template fixo + saída do terminal nas 60 + 4 (os 39 reparos da reexecução conferidos literalmente). Exceção: 3 rodadas limpas da execução original (WIDGET-ZS-02, WIDGET-COT-01, INT-FS-01) tiveram contexto extra a pedido do modelo.</t>
  </si>
  <si>
    <t xml:space="preserve">Template fixo + saída do terminal nas 60 + 4.</t>
  </si>
  <si>
    <t xml:space="preserve">Equivalente. Os pedidos de caminho/ambiente do modelo ficaram sem resposta nos dois lados.</t>
  </si>
  <si>
    <t xml:space="preserve">Declarar as 3 exceções. Registrar como ameaça à validade que o protocolo bloqueia rodadas por informação ausente (caminho de import), nos dois modelos.</t>
  </si>
  <si>
    <t xml:space="preserve">Reversões pelo operador</t>
  </si>
  <si>
    <t xml:space="preserve">2 na execução original (W-SILENT-ZS assistida, hoje fora; INT-FS-01 limpa, it. 2 revertida). Nenhuma na reexecução.</t>
  </si>
  <si>
    <t xml:space="preserve">Nenhuma.</t>
  </si>
  <si>
    <t xml:space="preserve">Só INT-FS-01 ainda conta.</t>
  </si>
  <si>
    <t xml:space="preserve">Declarar; a coluna "melhor intermediário" cobre os dois lados.</t>
  </si>
  <si>
    <t xml:space="preserve">Sessão / modelo</t>
  </si>
  <si>
    <t xml:space="preserve">Deslogado. GPT-5.5/5.6 na execução original (autodeclaração, sem seletor); GPT-5.6 Luna nas 15 reexecutadas (autodeclaração + Help Center, print por rodada). Luna é o modelo do tier gratuito, "fastest and lowest-cost" da família.</t>
  </si>
  <si>
    <t xml:space="preserve">Logado, conta Pro, 3.8 Flash fixado no seletor, print por sessão. Flash é o padrão do produto, com Flash Lite abaixo e Pro acima.</t>
  </si>
  <si>
    <t xml:space="preserve">Dentro do ChatGPT há duas versões (49 originais + 15 Luna); entre modelos, a comparação não é carro-chefe × carro-chefe.</t>
  </si>
  <si>
    <t xml:space="preserve">Limitações: declarar as duas versões do ChatGPT e a posição de cada modelo na linha do fornecedor.</t>
  </si>
  <si>
    <t xml:space="preserve">Canal de envio / ruído</t>
  </si>
  <si>
    <t xml:space="preserve">Reexecução 100% automatizada, 0 recusas, 0 erros de serviço em 15 rodadas. Execução original mista, com rodadas refeitas por perda de conversa.</t>
  </si>
  <si>
    <t xml:space="preserve">21 recusas em 17 rodadas + 2 erros de serviço; envio manual em 9 rodadas.</t>
  </si>
  <si>
    <t xml:space="preserve">Ruído só no Gemini.</t>
  </si>
  <si>
    <t xml:space="preserve">Reportar como ocorrência, fora do resultado.</t>
  </si>
  <si>
    <t xml:space="preserve">Busca na web pelo modelo</t>
  </si>
  <si>
    <t xml:space="preserve">Na reexecução o ChatGPT fez busca na web por conta própria em vários reparos (citações "Dart packages"), não controlada pelo protocolo.</t>
  </si>
  <si>
    <t xml:space="preserve">Não registrado.</t>
  </si>
  <si>
    <t xml:space="preserve">Pode ter ajudado o ChatGPT em APIs de mock (whenCalling).</t>
  </si>
  <si>
    <t xml:space="preserve">Registrar como característica da ferramenta.</t>
  </si>
  <si>
    <t xml:space="preserve">Rodadas que contam nas 60</t>
  </si>
  <si>
    <t xml:space="preserve">Originais de W-SILENT-FS e I-CRASH-{ZS,FS,COT}; REEXEC fora.</t>
  </si>
  <si>
    <t xml:space="preserve">Idem.</t>
  </si>
  <si>
    <t xml:space="preserve">Alinhado nesta planilha.</t>
  </si>
  <si>
    <t xml:space="preserve">Alinhar a planilha Fase2_Consolidado_60rodadas.xlsx do autor.</t>
  </si>
  <si>
    <t xml:space="preserve">Ajuda de import nos prompts</t>
  </si>
  <si>
    <t xml:space="preserve">Idêntica nos dois (byte a byte). FS nunca traz.</t>
  </si>
  <si>
    <t xml:space="preserve">Igual. Sem ajuda no reparo, as rodadas FS de widget/integração travam em import nos dois modelos (ChatGPT 4: W-CRASH-FS, W-SILENT-FS, W-SILENT-FS_REEXEC, I-SILENT-FS; Gemini 5).</t>
  </si>
  <si>
    <t xml:space="preserve">Declarar que a comparação FS × demais no widget/integração mede também a ausência do caminho.</t>
  </si>
  <si>
    <t xml:space="preserve">As 8 perguntas da comparação ChatGPT × Gemini</t>
  </si>
  <si>
    <t xml:space="preserve">Pergunta</t>
  </si>
  <si>
    <t xml:space="preserve">Resposta</t>
  </si>
  <si>
    <t xml:space="preserve">Evidência</t>
  </si>
  <si>
    <t xml:space="preserve">O Gemini detectou os 6 bugs? As categorias A/B/C seguiram o mesmo padrão?</t>
  </si>
  <si>
    <t xml:space="preserve">Não. Unitários: 6/6 nos dois, todos (C). W-CRASH: 0/3 nos dois. W-SILENT: ChatGPT viu e nomeou nas 3 (e fixou o par trocado); Gemini fixou sem nomear nas 3. I-CRASH (originais): ChatGPT viu em ZS com (B) correto na it. 3 mas o teste acomoda; Gemini não viu e emitiu 2 (B) confabulados; nenhum dos dois exercitou o bug. I-SILENT: ChatGPT caracterizou com alerta em ZS/FS e canonizou em COT; Gemini viu sem asserção em ZS/FS e canonizou em COT. Totais: viu 12/18 × 8/18; capturou por asserção que falharia se o bug fosse corrigido: 11/18 × 5/18 (todos caracterização, mais U-CRASH-FS por falha no ChatGPT); canonizou sem alerta 2 × 5; não viu 4 × 5.</t>
  </si>
  <si>
    <t xml:space="preserve">Aba Bugs plantados; docs de fase2-chatgpt-reexec/rodadas e fase2-gemini/rodadas.</t>
  </si>
  <si>
    <t xml:space="preserve">Houve asserção enfraquecida ou escopo reduzido?</t>
  </si>
  <si>
    <t xml:space="preserve">Sob (B): zero nos dois. Gemini: 2 enfraquecimentos sob (A), 1 remoção após (B) (WIDGET-ZS-02), 2 widgets colados no teste. ChatGPT: remoção do teste de navegação sob (A) em W-SILENT-COT it. 3 (o modelo disse que não deveria e removeu), 1 widget colado (W-SILENT-FS it. 2, desfeito), suíte reduzida de 14 para 8 em W-SILENT-ZS it. 2. Redução 12→10 declarada em INT-COT-02 (limpa).</t>
  </si>
  <si>
    <t xml:space="preserve">Docs 8, 11, 15, 16, 46 (Gemini); W-SILENT-ZS/FS/COT (reexec).</t>
  </si>
  <si>
    <t xml:space="preserve">As lacunas de W-CRASH (todas) e I-CRASH-FS se repetiram?</t>
  </si>
  <si>
    <t xml:space="preserve">Sim, as duas, nos dois modelos, sem ajuda. W-CRASH-COT do ChatGPT chegou a criar um documento com artist_name null, mas só o usou na exibição, nunca na busca. I-CRASH-FS (original e REEXEC) nunca escreveu o cenário de não autenticado em nenhuma das 4 execuções. É padrão do problema/prompt.</t>
  </si>
  <si>
    <t xml:space="preserve">Docs W-CRASH ×6, I-CRASH-FS ×4.</t>
  </si>
  <si>
    <t xml:space="preserve">O Gemini alucinou o caminho de import de CriarPlaylistScreen?</t>
  </si>
  <si>
    <t xml:space="preserve">Onde o prompt trazia a ajuda, nenhum dos dois. Onde não trazia (todo FS), os dois inventaram um caminho na geração. A diferença é a reação depois: o Gemini tentou 3 caminhos por rodada e colou o widget no teste; o ChatGPT parou, pediu o caminho (não respondido) e, em 3 de 4 casos, recusou inventar outro. Resultado igual: 4 rodadas FS do ChatGPT e 5 do Gemini sem compilar.</t>
  </si>
  <si>
    <t xml:space="preserve">W-CRASH-FS, W-SILENT-FS(+REEXEC), I-SILENT-FS nos dois.</t>
  </si>
  <si>
    <t xml:space="preserve">CadastroScreen e o fluxo de cadastro esbarraram de novo no ViaCEP?</t>
  </si>
  <si>
    <t xml:space="preserve">Pouco, nos dois. Gemini: 57 (resolveu) e 45 (mock à mão). ChatGPT limpas: WIDGET-COT-01 não compilou, INT-ZS-02 antecipou, INT-FS-02 não compilou. Na reexecução, o obstáculo do cadastro foi o dropdown de Estado (item PE não encontrado) em 3 rodadas de I-CRASH, não o ViaCEP.</t>
  </si>
  <si>
    <t xml:space="preserve">Docs 45, 57; WIDGET-COT-01, INT-ZS-02, INT-FS-02; I-CRASH REEXEC ×3.</t>
  </si>
  <si>
    <t xml:space="preserve">Volume e distribuição de testes por estratégia e nível.</t>
  </si>
  <si>
    <t xml:space="preserve">Limpos: ChatGPT 576 × Gemini 376 (−35%). Bugs: 183 × 119. Por rodada, o ChatGPT gerou mais em 45 das 60 (empate 6, Gemini 9). Por estratégia (limpos): ZS 201 × 147, FS 113 × 82, COT 262 × 147. O Gemini só gera mais em FS unitário e em 2 rodadas de integração. O exemplo do orientador ("Gemini gerou mais testes unitários de frontend") não se confirma.</t>
  </si>
  <si>
    <t xml:space="preserve">Aba Consolidado.</t>
  </si>
  <si>
    <t xml:space="preserve">Concordância autoclassificação × humana em cada modelo.</t>
  </si>
  <si>
    <t xml:space="preserve">Gemini (60): (C) 6/6; (A) 51, corretos na natureza, 12 com correção ruim; (B) 12, 10 procedem, 2 confabulados. ChatGPT (60, com reexec): (C) 9 procedem (6 unit + W-SILENT-ZS/FS/COT na geração + formatName); (A) ~60, corretos na natureza, com regressões por forma de patch em 5 rodadas; (B) 10 declarados, 8 procedem, 2 não (I-CRASH-FS reexec sobre o mock; I-CRASH-COT_REEXEC it. 2 prematuro). Divisor comum: o (B) acerta quando a evidência é do app real (stack trace), erra sobre material do prompt ou mock.</t>
  </si>
  <si>
    <t xml:space="preserve">Docs de auditoria dos dois lados.</t>
  </si>
  <si>
    <t xml:space="preserve">O Gemini capturou bugs vizinhos por acaso, como W-CRASH / I-SILENT?</t>
  </si>
  <si>
    <t xml:space="preserve">Não. O ChatGPT mencionou e canonizou o I-SILENT nas rodadas de W-CRASH (FS e COT na reexecução, ZS na original); o Gemini não o mencionou em nenhuma W-CRASH. No sentido inverso, WIDGET-ZS-03 e INT-ZS-03 do Gemini conferem o nome digitado e pegariam o I-SILENT se ativo; no ChatGPT, ICRASH-COT_REEXEC capturou o I-CRASH por acidente num teste de falha do Firestore.</t>
  </si>
  <si>
    <t xml:space="preserve">Docs W-CRASH ×6; Gemini 49, 58; ICRASH-COT_REEXEC (reexec).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</si>
</sst>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35.05" hidden="false" customHeight="false" outlineLevel="0" collapsed="false">
      <c r="A8" s="2" t="s">
        <v>6</v>
      </c>
    </row>
    <row r="9" customFormat="false" ht="35.0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23.8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1" min="9" style="0" width="7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6"/>
    <col collapsed="false" customWidth="true" hidden="false" outlineLevel="0" max="18" min="18" style="0" width="30"/>
    <col collapsed="false" customWidth="true" hidden="false" outlineLevel="0" max="21" min="19" style="0" width="7"/>
    <col collapsed="false" customWidth="true" hidden="false" outlineLevel="0" max="22" min="22" style="0" width="8"/>
    <col collapsed="false" customWidth="true" hidden="false" outlineLevel="0" max="23" min="23" style="0" width="6"/>
    <col collapsed="false" customWidth="true" hidden="false" outlineLevel="0" max="24" min="24" style="0" width="8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8" min="28" style="0" width="16"/>
    <col collapsed="false" customWidth="true" hidden="false" outlineLevel="0" max="29" min="29" style="0" width="30"/>
    <col collapsed="false" customWidth="true" hidden="false" outlineLevel="0" max="31" min="30" style="0" width="8"/>
    <col collapsed="false" customWidth="true" hidden="false" outlineLevel="0" max="33" min="32" style="0" width="10"/>
  </cols>
  <sheetData>
    <row r="1" customFormat="false" ht="77.6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</row>
    <row r="2" customFormat="false" ht="26.85" hidden="false" customHeight="false" outlineLevel="0" collapsed="false">
      <c r="A2" s="4" t="n">
        <v>1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n">
        <v>12</v>
      </c>
      <c r="J2" s="4" t="n">
        <v>12</v>
      </c>
      <c r="K2" s="4" t="n">
        <v>0</v>
      </c>
      <c r="L2" s="5" t="n">
        <f aca="false">IF(O2="executa",IFERROR(J2/(J2+K2),0),0)</f>
        <v>1</v>
      </c>
      <c r="M2" s="4" t="n">
        <v>0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n">
        <v>11</v>
      </c>
      <c r="T2" s="4" t="n">
        <v>11</v>
      </c>
      <c r="U2" s="4" t="n">
        <v>0</v>
      </c>
      <c r="V2" s="5" t="n">
        <f aca="false">IF(Y2="executa",IFERROR(T2/(T2+U2),0),0)</f>
        <v>1</v>
      </c>
      <c r="W2" s="4" t="n">
        <v>0</v>
      </c>
      <c r="X2" s="4" t="s">
        <v>50</v>
      </c>
      <c r="Y2" s="4" t="s">
        <v>51</v>
      </c>
      <c r="Z2" s="4" t="n">
        <v>1</v>
      </c>
      <c r="AA2" s="4" t="n">
        <v>0</v>
      </c>
      <c r="AB2" s="4" t="s">
        <v>53</v>
      </c>
      <c r="AC2" s="4" t="s">
        <v>54</v>
      </c>
      <c r="AD2" s="4" t="n">
        <f aca="false">S2-I2</f>
        <v>-1</v>
      </c>
      <c r="AE2" s="5" t="n">
        <f aca="false">V2-L2</f>
        <v>0</v>
      </c>
      <c r="AF2" s="4" t="str">
        <f aca="false">IF(S2&gt;I2,"Gemini",IF(S2&lt;I2,"ChatGPT","empate"))</f>
        <v>ChatGPT</v>
      </c>
      <c r="AG2" s="4" t="str">
        <f aca="false">IF(V2&gt;L2+0.0001,"Gemini",IF(V2&lt;L2-0.0001,"ChatGPT","empate"))</f>
        <v>empate</v>
      </c>
    </row>
    <row r="3" customFormat="false" ht="26.85" hidden="false" customHeight="false" outlineLevel="0" collapsed="false">
      <c r="A3" s="4" t="n">
        <v>2</v>
      </c>
      <c r="B3" s="4" t="s">
        <v>55</v>
      </c>
      <c r="C3" s="4" t="s">
        <v>44</v>
      </c>
      <c r="D3" s="4" t="s">
        <v>56</v>
      </c>
      <c r="E3" s="4" t="s">
        <v>46</v>
      </c>
      <c r="F3" s="4" t="s">
        <v>47</v>
      </c>
      <c r="G3" s="4" t="s">
        <v>48</v>
      </c>
      <c r="H3" s="4" t="s">
        <v>49</v>
      </c>
      <c r="I3" s="4" t="n">
        <v>6</v>
      </c>
      <c r="J3" s="4" t="n">
        <v>5</v>
      </c>
      <c r="K3" s="4" t="n">
        <v>1</v>
      </c>
      <c r="L3" s="5" t="n">
        <f aca="false">IF(O3="executa",IFERROR(J3/(J3+K3),0),0)</f>
        <v>0.833333333333333</v>
      </c>
      <c r="M3" s="4" t="n">
        <v>1</v>
      </c>
      <c r="N3" s="4" t="s">
        <v>50</v>
      </c>
      <c r="O3" s="4" t="s">
        <v>51</v>
      </c>
      <c r="P3" s="4" t="s">
        <v>52</v>
      </c>
      <c r="Q3" s="4" t="s">
        <v>57</v>
      </c>
      <c r="R3" s="4" t="s">
        <v>58</v>
      </c>
      <c r="S3" s="4" t="n">
        <v>6</v>
      </c>
      <c r="T3" s="4" t="n">
        <v>6</v>
      </c>
      <c r="U3" s="4" t="n">
        <v>0</v>
      </c>
      <c r="V3" s="5" t="n">
        <f aca="false">IF(Y3="executa",IFERROR(T3/(T3+U3),0),0)</f>
        <v>1</v>
      </c>
      <c r="W3" s="4" t="n">
        <v>0</v>
      </c>
      <c r="X3" s="4" t="s">
        <v>50</v>
      </c>
      <c r="Y3" s="4" t="s">
        <v>51</v>
      </c>
      <c r="Z3" s="4" t="n">
        <v>1</v>
      </c>
      <c r="AA3" s="4" t="n">
        <v>0</v>
      </c>
      <c r="AB3" s="4" t="s">
        <v>53</v>
      </c>
      <c r="AC3" s="4" t="s">
        <v>59</v>
      </c>
      <c r="AD3" s="4" t="n">
        <f aca="false">S3-I3</f>
        <v>0</v>
      </c>
      <c r="AE3" s="5" t="n">
        <f aca="false">V3-L3</f>
        <v>0.166666666666667</v>
      </c>
      <c r="AF3" s="4" t="str">
        <f aca="false">IF(S3&gt;I3,"Gemini",IF(S3&lt;I3,"ChatGPT","empate"))</f>
        <v>empate</v>
      </c>
      <c r="AG3" s="4" t="str">
        <f aca="false">IF(V3&gt;L3+0.0001,"Gemini",IF(V3&lt;L3-0.0001,"ChatGPT","empate"))</f>
        <v>Gemini</v>
      </c>
    </row>
    <row r="4" customFormat="false" ht="26.85" hidden="false" customHeight="false" outlineLevel="0" collapsed="false">
      <c r="A4" s="4" t="n">
        <v>3</v>
      </c>
      <c r="B4" s="4" t="s">
        <v>60</v>
      </c>
      <c r="C4" s="4" t="s">
        <v>44</v>
      </c>
      <c r="D4" s="4" t="s">
        <v>61</v>
      </c>
      <c r="E4" s="4" t="s">
        <v>46</v>
      </c>
      <c r="F4" s="4" t="s">
        <v>47</v>
      </c>
      <c r="G4" s="4" t="s">
        <v>48</v>
      </c>
      <c r="H4" s="4" t="s">
        <v>49</v>
      </c>
      <c r="I4" s="4" t="n">
        <v>12</v>
      </c>
      <c r="J4" s="4" t="n">
        <v>12</v>
      </c>
      <c r="K4" s="4" t="n">
        <v>0</v>
      </c>
      <c r="L4" s="5" t="n">
        <f aca="false">IF(O4="executa",IFERROR(J4/(J4+K4),0),0)</f>
        <v>1</v>
      </c>
      <c r="M4" s="4" t="n">
        <v>0</v>
      </c>
      <c r="N4" s="4" t="s">
        <v>50</v>
      </c>
      <c r="O4" s="4" t="s">
        <v>51</v>
      </c>
      <c r="P4" s="4" t="s">
        <v>52</v>
      </c>
      <c r="Q4" s="4" t="s">
        <v>53</v>
      </c>
      <c r="R4" s="4" t="s">
        <v>54</v>
      </c>
      <c r="S4" s="4" t="n">
        <v>10</v>
      </c>
      <c r="T4" s="4" t="n">
        <v>10</v>
      </c>
      <c r="U4" s="4" t="n">
        <v>0</v>
      </c>
      <c r="V4" s="5" t="n">
        <f aca="false">IF(Y4="executa",IFERROR(T4/(T4+U4),0),0)</f>
        <v>1</v>
      </c>
      <c r="W4" s="4" t="n">
        <v>0</v>
      </c>
      <c r="X4" s="4" t="s">
        <v>50</v>
      </c>
      <c r="Y4" s="4" t="s">
        <v>51</v>
      </c>
      <c r="Z4" s="4" t="n">
        <v>1</v>
      </c>
      <c r="AA4" s="4" t="n">
        <v>0</v>
      </c>
      <c r="AB4" s="4" t="s">
        <v>53</v>
      </c>
      <c r="AC4" s="4" t="s">
        <v>54</v>
      </c>
      <c r="AD4" s="4" t="n">
        <f aca="false">S4-I4</f>
        <v>-2</v>
      </c>
      <c r="AE4" s="5" t="n">
        <f aca="false">V4-L4</f>
        <v>0</v>
      </c>
      <c r="AF4" s="4" t="str">
        <f aca="false">IF(S4&gt;I4,"Gemini",IF(S4&lt;I4,"ChatGPT","empate"))</f>
        <v>ChatGPT</v>
      </c>
      <c r="AG4" s="4" t="str">
        <f aca="false">IF(V4&gt;L4+0.0001,"Gemini",IF(V4&lt;L4-0.0001,"ChatGPT","empate"))</f>
        <v>empate</v>
      </c>
    </row>
    <row r="5" customFormat="false" ht="26.85" hidden="false" customHeight="false" outlineLevel="0" collapsed="false">
      <c r="A5" s="4" t="n">
        <v>4</v>
      </c>
      <c r="B5" s="4" t="s">
        <v>62</v>
      </c>
      <c r="C5" s="4" t="s">
        <v>44</v>
      </c>
      <c r="D5" s="4" t="s">
        <v>45</v>
      </c>
      <c r="E5" s="4" t="s">
        <v>63</v>
      </c>
      <c r="F5" s="4" t="s">
        <v>47</v>
      </c>
      <c r="G5" s="4" t="s">
        <v>64</v>
      </c>
      <c r="H5" s="4" t="s">
        <v>49</v>
      </c>
      <c r="I5" s="4" t="n">
        <v>12</v>
      </c>
      <c r="J5" s="4" t="n">
        <v>12</v>
      </c>
      <c r="K5" s="4" t="n">
        <v>0</v>
      </c>
      <c r="L5" s="5" t="n">
        <f aca="false">IF(O5="executa",IFERROR(J5/(J5+K5),0),0)</f>
        <v>1</v>
      </c>
      <c r="M5" s="4" t="n">
        <v>0</v>
      </c>
      <c r="N5" s="4" t="s">
        <v>50</v>
      </c>
      <c r="O5" s="4" t="s">
        <v>51</v>
      </c>
      <c r="P5" s="4" t="s">
        <v>52</v>
      </c>
      <c r="Q5" s="4" t="s">
        <v>53</v>
      </c>
      <c r="R5" s="4" t="s">
        <v>54</v>
      </c>
      <c r="S5" s="4" t="n">
        <v>7</v>
      </c>
      <c r="T5" s="4" t="n">
        <v>7</v>
      </c>
      <c r="U5" s="4" t="n">
        <v>0</v>
      </c>
      <c r="V5" s="5" t="n">
        <f aca="false">IF(Y5="executa",IFERROR(T5/(T5+U5),0),0)</f>
        <v>1</v>
      </c>
      <c r="W5" s="4" t="n">
        <v>0</v>
      </c>
      <c r="X5" s="4" t="s">
        <v>50</v>
      </c>
      <c r="Y5" s="4" t="s">
        <v>51</v>
      </c>
      <c r="Z5" s="4" t="n">
        <v>1</v>
      </c>
      <c r="AA5" s="4" t="n">
        <v>0</v>
      </c>
      <c r="AB5" s="4" t="s">
        <v>53</v>
      </c>
      <c r="AC5" s="4" t="s">
        <v>54</v>
      </c>
      <c r="AD5" s="4" t="n">
        <f aca="false">S5-I5</f>
        <v>-5</v>
      </c>
      <c r="AE5" s="5" t="n">
        <f aca="false">V5-L5</f>
        <v>0</v>
      </c>
      <c r="AF5" s="4" t="str">
        <f aca="false">IF(S5&gt;I5,"Gemini",IF(S5&lt;I5,"ChatGPT","empate"))</f>
        <v>ChatGPT</v>
      </c>
      <c r="AG5" s="4" t="str">
        <f aca="false">IF(V5&gt;L5+0.0001,"Gemini",IF(V5&lt;L5-0.0001,"ChatGPT","empate"))</f>
        <v>empate</v>
      </c>
    </row>
    <row r="6" customFormat="false" ht="26.85" hidden="false" customHeight="false" outlineLevel="0" collapsed="false">
      <c r="A6" s="4" t="n">
        <v>5</v>
      </c>
      <c r="B6" s="4" t="s">
        <v>65</v>
      </c>
      <c r="C6" s="4" t="s">
        <v>44</v>
      </c>
      <c r="D6" s="4" t="s">
        <v>56</v>
      </c>
      <c r="E6" s="4" t="s">
        <v>63</v>
      </c>
      <c r="F6" s="4" t="s">
        <v>47</v>
      </c>
      <c r="G6" s="4" t="s">
        <v>64</v>
      </c>
      <c r="H6" s="4" t="s">
        <v>49</v>
      </c>
      <c r="I6" s="4" t="n">
        <v>6</v>
      </c>
      <c r="J6" s="4" t="n">
        <v>6</v>
      </c>
      <c r="K6" s="4" t="n">
        <v>0</v>
      </c>
      <c r="L6" s="5" t="n">
        <f aca="false">IF(O6="executa",IFERROR(J6/(J6+K6),0),0)</f>
        <v>1</v>
      </c>
      <c r="M6" s="4" t="n">
        <v>0</v>
      </c>
      <c r="N6" s="4" t="s">
        <v>50</v>
      </c>
      <c r="O6" s="4" t="s">
        <v>51</v>
      </c>
      <c r="P6" s="4" t="s">
        <v>52</v>
      </c>
      <c r="Q6" s="4" t="s">
        <v>53</v>
      </c>
      <c r="R6" s="4" t="s">
        <v>54</v>
      </c>
      <c r="S6" s="4" t="n">
        <v>5</v>
      </c>
      <c r="T6" s="4" t="n">
        <v>5</v>
      </c>
      <c r="U6" s="4" t="n">
        <v>0</v>
      </c>
      <c r="V6" s="5" t="n">
        <f aca="false">IF(Y6="executa",IFERROR(T6/(T6+U6),0),0)</f>
        <v>1</v>
      </c>
      <c r="W6" s="4" t="n">
        <v>0</v>
      </c>
      <c r="X6" s="4" t="s">
        <v>50</v>
      </c>
      <c r="Y6" s="4" t="s">
        <v>51</v>
      </c>
      <c r="Z6" s="4" t="n">
        <v>1</v>
      </c>
      <c r="AA6" s="4" t="n">
        <v>0</v>
      </c>
      <c r="AB6" s="4" t="s">
        <v>53</v>
      </c>
      <c r="AC6" s="4" t="s">
        <v>54</v>
      </c>
      <c r="AD6" s="4" t="n">
        <f aca="false">S6-I6</f>
        <v>-1</v>
      </c>
      <c r="AE6" s="5" t="n">
        <f aca="false">V6-L6</f>
        <v>0</v>
      </c>
      <c r="AF6" s="4" t="str">
        <f aca="false">IF(S6&gt;I6,"Gemini",IF(S6&lt;I6,"ChatGPT","empate"))</f>
        <v>ChatGPT</v>
      </c>
      <c r="AG6" s="4" t="str">
        <f aca="false">IF(V6&gt;L6+0.0001,"Gemini",IF(V6&lt;L6-0.0001,"ChatGPT","empate"))</f>
        <v>empate</v>
      </c>
    </row>
    <row r="7" customFormat="false" ht="26.85" hidden="false" customHeight="false" outlineLevel="0" collapsed="false">
      <c r="A7" s="4" t="n">
        <v>6</v>
      </c>
      <c r="B7" s="4" t="s">
        <v>66</v>
      </c>
      <c r="C7" s="4" t="s">
        <v>44</v>
      </c>
      <c r="D7" s="4" t="s">
        <v>61</v>
      </c>
      <c r="E7" s="4" t="s">
        <v>63</v>
      </c>
      <c r="F7" s="4" t="s">
        <v>47</v>
      </c>
      <c r="G7" s="4" t="s">
        <v>64</v>
      </c>
      <c r="H7" s="4" t="s">
        <v>49</v>
      </c>
      <c r="I7" s="4" t="n">
        <v>14</v>
      </c>
      <c r="J7" s="4" t="n">
        <v>14</v>
      </c>
      <c r="K7" s="4" t="n">
        <v>0</v>
      </c>
      <c r="L7" s="5" t="n">
        <f aca="false">IF(O7="executa",IFERROR(J7/(J7+K7),0),0)</f>
        <v>1</v>
      </c>
      <c r="M7" s="4" t="n">
        <v>0</v>
      </c>
      <c r="N7" s="4" t="s">
        <v>50</v>
      </c>
      <c r="O7" s="4" t="s">
        <v>51</v>
      </c>
      <c r="P7" s="4" t="s">
        <v>52</v>
      </c>
      <c r="Q7" s="4" t="s">
        <v>53</v>
      </c>
      <c r="R7" s="4" t="s">
        <v>54</v>
      </c>
      <c r="S7" s="4" t="n">
        <v>8</v>
      </c>
      <c r="T7" s="4" t="n">
        <v>8</v>
      </c>
      <c r="U7" s="4" t="n">
        <v>0</v>
      </c>
      <c r="V7" s="5" t="n">
        <f aca="false">IF(Y7="executa",IFERROR(T7/(T7+U7),0),0)</f>
        <v>1</v>
      </c>
      <c r="W7" s="4" t="n">
        <v>0</v>
      </c>
      <c r="X7" s="4" t="s">
        <v>50</v>
      </c>
      <c r="Y7" s="4" t="s">
        <v>51</v>
      </c>
      <c r="Z7" s="4" t="n">
        <v>2</v>
      </c>
      <c r="AA7" s="4" t="n">
        <v>1</v>
      </c>
      <c r="AB7" s="4" t="s">
        <v>53</v>
      </c>
      <c r="AC7" s="4" t="s">
        <v>54</v>
      </c>
      <c r="AD7" s="4" t="n">
        <f aca="false">S7-I7</f>
        <v>-6</v>
      </c>
      <c r="AE7" s="5" t="n">
        <f aca="false">V7-L7</f>
        <v>0</v>
      </c>
      <c r="AF7" s="4" t="str">
        <f aca="false">IF(S7&gt;I7,"Gemini",IF(S7&lt;I7,"ChatGPT","empate"))</f>
        <v>ChatGPT</v>
      </c>
      <c r="AG7" s="4" t="str">
        <f aca="false">IF(V7&gt;L7+0.0001,"Gemini",IF(V7&lt;L7-0.0001,"ChatGPT","empate"))</f>
        <v>empate</v>
      </c>
    </row>
    <row r="8" customFormat="false" ht="26.85" hidden="false" customHeight="false" outlineLevel="0" collapsed="false">
      <c r="A8" s="4" t="n">
        <v>7</v>
      </c>
      <c r="B8" s="4" t="s">
        <v>67</v>
      </c>
      <c r="C8" s="4" t="s">
        <v>68</v>
      </c>
      <c r="D8" s="4" t="s">
        <v>45</v>
      </c>
      <c r="E8" s="4" t="s">
        <v>69</v>
      </c>
      <c r="F8" s="4" t="s">
        <v>47</v>
      </c>
      <c r="G8" s="4" t="s">
        <v>70</v>
      </c>
      <c r="H8" s="4" t="s">
        <v>49</v>
      </c>
      <c r="I8" s="4" t="n">
        <v>14</v>
      </c>
      <c r="J8" s="4" t="n">
        <v>14</v>
      </c>
      <c r="K8" s="4" t="n">
        <v>0</v>
      </c>
      <c r="L8" s="5" t="n">
        <f aca="false">IF(O8="executa",IFERROR(J8/(J8+K8),0),0)</f>
        <v>1</v>
      </c>
      <c r="M8" s="4" t="n">
        <v>0</v>
      </c>
      <c r="N8" s="4" t="s">
        <v>50</v>
      </c>
      <c r="O8" s="4" t="s">
        <v>51</v>
      </c>
      <c r="P8" s="4" t="s">
        <v>52</v>
      </c>
      <c r="Q8" s="4" t="s">
        <v>71</v>
      </c>
      <c r="R8" s="4" t="s">
        <v>72</v>
      </c>
      <c r="S8" s="4" t="n">
        <v>5</v>
      </c>
      <c r="T8" s="4" t="n">
        <v>5</v>
      </c>
      <c r="U8" s="4" t="n">
        <v>0</v>
      </c>
      <c r="V8" s="5" t="n">
        <f aca="false">IF(Y8="executa",IFERROR(T8/(T8+U8),0),0)</f>
        <v>1</v>
      </c>
      <c r="W8" s="4" t="n">
        <v>0</v>
      </c>
      <c r="X8" s="4" t="s">
        <v>50</v>
      </c>
      <c r="Y8" s="4" t="s">
        <v>51</v>
      </c>
      <c r="Z8" s="4" t="n">
        <v>2</v>
      </c>
      <c r="AA8" s="4" t="n">
        <v>1</v>
      </c>
      <c r="AB8" s="4" t="s">
        <v>71</v>
      </c>
      <c r="AC8" s="4" t="s">
        <v>72</v>
      </c>
      <c r="AD8" s="4" t="n">
        <f aca="false">S8-I8</f>
        <v>-9</v>
      </c>
      <c r="AE8" s="5" t="n">
        <f aca="false">V8-L8</f>
        <v>0</v>
      </c>
      <c r="AF8" s="4" t="str">
        <f aca="false">IF(S8&gt;I8,"Gemini",IF(S8&lt;I8,"ChatGPT","empate"))</f>
        <v>ChatGPT</v>
      </c>
      <c r="AG8" s="4" t="str">
        <f aca="false">IF(V8&gt;L8+0.0001,"Gemini",IF(V8&lt;L8-0.0001,"ChatGPT","empate"))</f>
        <v>empate</v>
      </c>
    </row>
    <row r="9" customFormat="false" ht="39.55" hidden="false" customHeight="false" outlineLevel="0" collapsed="false">
      <c r="A9" s="4" t="n">
        <v>8</v>
      </c>
      <c r="B9" s="4" t="s">
        <v>73</v>
      </c>
      <c r="C9" s="4" t="s">
        <v>68</v>
      </c>
      <c r="D9" s="4" t="s">
        <v>56</v>
      </c>
      <c r="E9" s="4" t="s">
        <v>69</v>
      </c>
      <c r="F9" s="4" t="s">
        <v>47</v>
      </c>
      <c r="G9" s="4" t="s">
        <v>70</v>
      </c>
      <c r="H9" s="4" t="s">
        <v>74</v>
      </c>
      <c r="I9" s="4" t="n">
        <v>10</v>
      </c>
      <c r="J9" s="4" t="n">
        <v>0</v>
      </c>
      <c r="K9" s="4" t="n">
        <v>10</v>
      </c>
      <c r="L9" s="5" t="n">
        <f aca="false">IF(O9="executa",IFERROR(J9/(J9+K9),0),0)</f>
        <v>0</v>
      </c>
      <c r="M9" s="4" t="n">
        <v>3</v>
      </c>
      <c r="N9" s="4" t="s">
        <v>52</v>
      </c>
      <c r="O9" s="4" t="s">
        <v>75</v>
      </c>
      <c r="P9" s="4" t="s">
        <v>52</v>
      </c>
      <c r="Q9" s="4" t="s">
        <v>76</v>
      </c>
      <c r="R9" s="4" t="s">
        <v>72</v>
      </c>
      <c r="S9" s="4" t="n">
        <v>5</v>
      </c>
      <c r="T9" s="4" t="n">
        <v>3</v>
      </c>
      <c r="U9" s="4" t="n">
        <v>2</v>
      </c>
      <c r="V9" s="5" t="n">
        <f aca="false">IF(Y9="executa",IFERROR(T9/(T9+U9),0),0)</f>
        <v>0.6</v>
      </c>
      <c r="W9" s="4" t="n">
        <v>3</v>
      </c>
      <c r="X9" s="4" t="s">
        <v>52</v>
      </c>
      <c r="Y9" s="4" t="s">
        <v>51</v>
      </c>
      <c r="Z9" s="4" t="n">
        <v>1</v>
      </c>
      <c r="AA9" s="4" t="n">
        <v>0</v>
      </c>
      <c r="AB9" s="4" t="s">
        <v>76</v>
      </c>
      <c r="AC9" s="4" t="s">
        <v>72</v>
      </c>
      <c r="AD9" s="4" t="n">
        <f aca="false">S9-I9</f>
        <v>-5</v>
      </c>
      <c r="AE9" s="5" t="n">
        <f aca="false">V9-L9</f>
        <v>0.6</v>
      </c>
      <c r="AF9" s="4" t="str">
        <f aca="false">IF(S9&gt;I9,"Gemini",IF(S9&lt;I9,"ChatGPT","empate"))</f>
        <v>ChatGPT</v>
      </c>
      <c r="AG9" s="4" t="str">
        <f aca="false">IF(V9&gt;L9+0.0001,"Gemini",IF(V9&lt;L9-0.0001,"ChatGPT","empate"))</f>
        <v>Gemini</v>
      </c>
    </row>
    <row r="10" customFormat="false" ht="39.55" hidden="false" customHeight="false" outlineLevel="0" collapsed="false">
      <c r="A10" s="4" t="n">
        <v>9</v>
      </c>
      <c r="B10" s="4" t="s">
        <v>77</v>
      </c>
      <c r="C10" s="4" t="s">
        <v>68</v>
      </c>
      <c r="D10" s="4" t="s">
        <v>61</v>
      </c>
      <c r="E10" s="4" t="s">
        <v>69</v>
      </c>
      <c r="F10" s="4" t="s">
        <v>47</v>
      </c>
      <c r="G10" s="4" t="s">
        <v>70</v>
      </c>
      <c r="H10" s="4" t="s">
        <v>74</v>
      </c>
      <c r="I10" s="4" t="n">
        <v>21</v>
      </c>
      <c r="J10" s="4" t="n">
        <v>20</v>
      </c>
      <c r="K10" s="4" t="n">
        <v>1</v>
      </c>
      <c r="L10" s="5" t="n">
        <f aca="false">IF(O10="executa",IFERROR(J10/(J10+K10),0),0)</f>
        <v>0.952380952380952</v>
      </c>
      <c r="M10" s="4" t="n">
        <v>3</v>
      </c>
      <c r="N10" s="4" t="s">
        <v>50</v>
      </c>
      <c r="O10" s="4" t="s">
        <v>51</v>
      </c>
      <c r="P10" s="4" t="s">
        <v>52</v>
      </c>
      <c r="Q10" s="4" t="s">
        <v>76</v>
      </c>
      <c r="R10" s="4" t="s">
        <v>72</v>
      </c>
      <c r="S10" s="4" t="n">
        <v>9</v>
      </c>
      <c r="T10" s="4" t="n">
        <v>9</v>
      </c>
      <c r="U10" s="4" t="n">
        <v>0</v>
      </c>
      <c r="V10" s="5" t="n">
        <f aca="false">IF(Y10="executa",IFERROR(T10/(T10+U10),0),0)</f>
        <v>1</v>
      </c>
      <c r="W10" s="4" t="n">
        <v>0</v>
      </c>
      <c r="X10" s="4" t="s">
        <v>50</v>
      </c>
      <c r="Y10" s="4" t="s">
        <v>51</v>
      </c>
      <c r="Z10" s="4" t="n">
        <v>1</v>
      </c>
      <c r="AA10" s="4" t="n">
        <v>0</v>
      </c>
      <c r="AB10" s="4" t="s">
        <v>71</v>
      </c>
      <c r="AC10" s="4" t="s">
        <v>72</v>
      </c>
      <c r="AD10" s="4" t="n">
        <f aca="false">S10-I10</f>
        <v>-12</v>
      </c>
      <c r="AE10" s="5" t="n">
        <f aca="false">V10-L10</f>
        <v>0.0476190476190477</v>
      </c>
      <c r="AF10" s="4" t="str">
        <f aca="false">IF(S10&gt;I10,"Gemini",IF(S10&lt;I10,"ChatGPT","empate"))</f>
        <v>ChatGPT</v>
      </c>
      <c r="AG10" s="4" t="str">
        <f aca="false">IF(V10&gt;L10+0.0001,"Gemini",IF(V10&lt;L10-0.0001,"ChatGPT","empate"))</f>
        <v>Gemini</v>
      </c>
    </row>
    <row r="11" customFormat="false" ht="39.55" hidden="false" customHeight="false" outlineLevel="0" collapsed="false">
      <c r="A11" s="4" t="n">
        <v>10</v>
      </c>
      <c r="B11" s="4" t="s">
        <v>78</v>
      </c>
      <c r="C11" s="4" t="s">
        <v>68</v>
      </c>
      <c r="D11" s="4" t="s">
        <v>45</v>
      </c>
      <c r="E11" s="4" t="s">
        <v>79</v>
      </c>
      <c r="F11" s="4" t="s">
        <v>47</v>
      </c>
      <c r="G11" s="4" t="s">
        <v>80</v>
      </c>
      <c r="H11" s="4" t="s">
        <v>74</v>
      </c>
      <c r="I11" s="4" t="n">
        <v>14</v>
      </c>
      <c r="J11" s="4" t="n">
        <v>7</v>
      </c>
      <c r="K11" s="4" t="n">
        <v>1</v>
      </c>
      <c r="L11" s="5" t="n">
        <f aca="false">IF(O11="executa",IFERROR(J11/(J11+K11),0),0)</f>
        <v>0.875</v>
      </c>
      <c r="M11" s="4" t="n">
        <v>3</v>
      </c>
      <c r="N11" s="4" t="s">
        <v>52</v>
      </c>
      <c r="O11" s="4" t="s">
        <v>51</v>
      </c>
      <c r="P11" s="4" t="s">
        <v>52</v>
      </c>
      <c r="Q11" s="4" t="s">
        <v>81</v>
      </c>
      <c r="R11" s="4" t="s">
        <v>82</v>
      </c>
      <c r="S11" s="4" t="n">
        <v>11</v>
      </c>
      <c r="T11" s="4" t="n">
        <v>10</v>
      </c>
      <c r="U11" s="4" t="n">
        <v>1</v>
      </c>
      <c r="V11" s="5" t="n">
        <f aca="false">IF(Y11="executa",IFERROR(T11/(T11+U11),0),0)</f>
        <v>0.909090909090909</v>
      </c>
      <c r="W11" s="4" t="n">
        <v>2</v>
      </c>
      <c r="X11" s="4" t="s">
        <v>50</v>
      </c>
      <c r="Y11" s="4" t="s">
        <v>51</v>
      </c>
      <c r="Z11" s="4" t="n">
        <v>1</v>
      </c>
      <c r="AA11" s="4" t="n">
        <v>0</v>
      </c>
      <c r="AB11" s="4" t="s">
        <v>83</v>
      </c>
      <c r="AC11" s="4" t="s">
        <v>84</v>
      </c>
      <c r="AD11" s="4" t="n">
        <f aca="false">S11-I11</f>
        <v>-3</v>
      </c>
      <c r="AE11" s="5" t="n">
        <f aca="false">V11-L11</f>
        <v>0.0340909090909091</v>
      </c>
      <c r="AF11" s="4" t="str">
        <f aca="false">IF(S11&gt;I11,"Gemini",IF(S11&lt;I11,"ChatGPT","empate"))</f>
        <v>ChatGPT</v>
      </c>
      <c r="AG11" s="4" t="str">
        <f aca="false">IF(V11&gt;L11+0.0001,"Gemini",IF(V11&lt;L11-0.0001,"ChatGPT","empate"))</f>
        <v>Gemini</v>
      </c>
    </row>
    <row r="12" customFormat="false" ht="39.55" hidden="false" customHeight="false" outlineLevel="0" collapsed="false">
      <c r="A12" s="4" t="n">
        <v>11</v>
      </c>
      <c r="B12" s="4" t="s">
        <v>85</v>
      </c>
      <c r="C12" s="4" t="s">
        <v>68</v>
      </c>
      <c r="D12" s="4" t="s">
        <v>56</v>
      </c>
      <c r="E12" s="4" t="s">
        <v>79</v>
      </c>
      <c r="F12" s="4" t="s">
        <v>47</v>
      </c>
      <c r="G12" s="4" t="s">
        <v>80</v>
      </c>
      <c r="H12" s="4" t="s">
        <v>74</v>
      </c>
      <c r="I12" s="4" t="n">
        <v>10</v>
      </c>
      <c r="J12" s="4" t="n">
        <v>0</v>
      </c>
      <c r="K12" s="4" t="n">
        <v>9</v>
      </c>
      <c r="L12" s="5" t="n">
        <f aca="false">IF(O12="executa",IFERROR(J12/(J12+K12),0),0)</f>
        <v>0</v>
      </c>
      <c r="M12" s="4" t="n">
        <v>3</v>
      </c>
      <c r="N12" s="4" t="s">
        <v>52</v>
      </c>
      <c r="O12" s="4" t="s">
        <v>75</v>
      </c>
      <c r="P12" s="4" t="s">
        <v>52</v>
      </c>
      <c r="Q12" s="4" t="s">
        <v>81</v>
      </c>
      <c r="R12" s="4" t="s">
        <v>86</v>
      </c>
      <c r="S12" s="4" t="n">
        <v>9</v>
      </c>
      <c r="T12" s="4" t="n">
        <v>9</v>
      </c>
      <c r="U12" s="4" t="n">
        <v>0</v>
      </c>
      <c r="V12" s="5" t="n">
        <f aca="false">IF(Y12="executa",IFERROR(T12/(T12+U12),0),0)</f>
        <v>1</v>
      </c>
      <c r="W12" s="4" t="n">
        <v>2</v>
      </c>
      <c r="X12" s="4" t="s">
        <v>52</v>
      </c>
      <c r="Y12" s="4" t="s">
        <v>51</v>
      </c>
      <c r="Z12" s="4" t="n">
        <v>1</v>
      </c>
      <c r="AA12" s="4" t="n">
        <v>0</v>
      </c>
      <c r="AB12" s="4" t="s">
        <v>87</v>
      </c>
      <c r="AC12" s="4" t="s">
        <v>88</v>
      </c>
      <c r="AD12" s="4" t="n">
        <f aca="false">S12-I12</f>
        <v>-1</v>
      </c>
      <c r="AE12" s="5" t="n">
        <f aca="false">V12-L12</f>
        <v>1</v>
      </c>
      <c r="AF12" s="4" t="str">
        <f aca="false">IF(S12&gt;I12,"Gemini",IF(S12&lt;I12,"ChatGPT","empate"))</f>
        <v>ChatGPT</v>
      </c>
      <c r="AG12" s="4" t="str">
        <f aca="false">IF(V12&gt;L12+0.0001,"Gemini",IF(V12&lt;L12-0.0001,"ChatGPT","empate"))</f>
        <v>Gemini</v>
      </c>
    </row>
    <row r="13" customFormat="false" ht="39.55" hidden="false" customHeight="false" outlineLevel="0" collapsed="false">
      <c r="A13" s="4" t="n">
        <v>12</v>
      </c>
      <c r="B13" s="4" t="s">
        <v>89</v>
      </c>
      <c r="C13" s="4" t="s">
        <v>68</v>
      </c>
      <c r="D13" s="4" t="s">
        <v>61</v>
      </c>
      <c r="E13" s="4" t="s">
        <v>79</v>
      </c>
      <c r="F13" s="4" t="s">
        <v>47</v>
      </c>
      <c r="G13" s="4" t="s">
        <v>80</v>
      </c>
      <c r="H13" s="4" t="s">
        <v>74</v>
      </c>
      <c r="I13" s="4" t="n">
        <v>21</v>
      </c>
      <c r="J13" s="4" t="n">
        <v>0</v>
      </c>
      <c r="K13" s="4" t="n">
        <v>20</v>
      </c>
      <c r="L13" s="5" t="n">
        <f aca="false">IF(O13="executa",IFERROR(J13/(J13+K13),0),0)</f>
        <v>0</v>
      </c>
      <c r="M13" s="4" t="n">
        <v>3</v>
      </c>
      <c r="N13" s="4" t="s">
        <v>52</v>
      </c>
      <c r="O13" s="4" t="s">
        <v>75</v>
      </c>
      <c r="P13" s="4" t="s">
        <v>52</v>
      </c>
      <c r="Q13" s="4" t="s">
        <v>81</v>
      </c>
      <c r="R13" s="4" t="s">
        <v>82</v>
      </c>
      <c r="S13" s="4" t="n">
        <v>10</v>
      </c>
      <c r="T13" s="4" t="n">
        <v>9</v>
      </c>
      <c r="U13" s="4" t="n">
        <v>1</v>
      </c>
      <c r="V13" s="5" t="n">
        <f aca="false">IF(Y13="executa",IFERROR(T13/(T13+U13),0),0)</f>
        <v>0.9</v>
      </c>
      <c r="W13" s="4" t="n">
        <v>1</v>
      </c>
      <c r="X13" s="4" t="s">
        <v>50</v>
      </c>
      <c r="Y13" s="4" t="s">
        <v>51</v>
      </c>
      <c r="Z13" s="4" t="n">
        <v>1</v>
      </c>
      <c r="AA13" s="4" t="n">
        <v>0</v>
      </c>
      <c r="AB13" s="4" t="s">
        <v>57</v>
      </c>
      <c r="AC13" s="4" t="s">
        <v>84</v>
      </c>
      <c r="AD13" s="4" t="n">
        <f aca="false">S13-I13</f>
        <v>-11</v>
      </c>
      <c r="AE13" s="5" t="n">
        <f aca="false">V13-L13</f>
        <v>0.9</v>
      </c>
      <c r="AF13" s="4" t="str">
        <f aca="false">IF(S13&gt;I13,"Gemini",IF(S13&lt;I13,"ChatGPT","empate"))</f>
        <v>ChatGPT</v>
      </c>
      <c r="AG13" s="4" t="str">
        <f aca="false">IF(V13&gt;L13+0.0001,"Gemini",IF(V13&lt;L13-0.0001,"ChatGPT","empate"))</f>
        <v>Gemini</v>
      </c>
    </row>
    <row r="14" customFormat="false" ht="39.55" hidden="false" customHeight="false" outlineLevel="0" collapsed="false">
      <c r="A14" s="4" t="n">
        <v>13</v>
      </c>
      <c r="B14" s="4" t="s">
        <v>90</v>
      </c>
      <c r="C14" s="4" t="s">
        <v>91</v>
      </c>
      <c r="D14" s="4" t="s">
        <v>45</v>
      </c>
      <c r="E14" s="4" t="s">
        <v>92</v>
      </c>
      <c r="F14" s="4" t="s">
        <v>47</v>
      </c>
      <c r="G14" s="4" t="s">
        <v>93</v>
      </c>
      <c r="H14" s="4" t="s">
        <v>74</v>
      </c>
      <c r="I14" s="4" t="n">
        <v>6</v>
      </c>
      <c r="J14" s="4" t="n">
        <v>1</v>
      </c>
      <c r="K14" s="4" t="n">
        <v>5</v>
      </c>
      <c r="L14" s="5" t="n">
        <f aca="false">IF(O14="executa",IFERROR(J14/(J14+K14),0),0)</f>
        <v>0.166666666666667</v>
      </c>
      <c r="M14" s="4" t="n">
        <v>3</v>
      </c>
      <c r="N14" s="4" t="s">
        <v>52</v>
      </c>
      <c r="O14" s="4" t="s">
        <v>51</v>
      </c>
      <c r="P14" s="4" t="s">
        <v>52</v>
      </c>
      <c r="Q14" s="4" t="s">
        <v>94</v>
      </c>
      <c r="R14" s="4" t="s">
        <v>95</v>
      </c>
      <c r="S14" s="4" t="n">
        <v>5</v>
      </c>
      <c r="T14" s="4" t="n">
        <v>1</v>
      </c>
      <c r="U14" s="4" t="n">
        <v>4</v>
      </c>
      <c r="V14" s="5" t="n">
        <f aca="false">IF(Y14="executa",IFERROR(T14/(T14+U14),0),0)</f>
        <v>0.2</v>
      </c>
      <c r="W14" s="4" t="n">
        <v>3</v>
      </c>
      <c r="X14" s="4" t="s">
        <v>52</v>
      </c>
      <c r="Y14" s="4" t="s">
        <v>51</v>
      </c>
      <c r="Z14" s="4" t="n">
        <v>1</v>
      </c>
      <c r="AA14" s="4" t="n">
        <v>0</v>
      </c>
      <c r="AB14" s="4" t="s">
        <v>96</v>
      </c>
      <c r="AC14" s="4" t="s">
        <v>97</v>
      </c>
      <c r="AD14" s="4" t="n">
        <f aca="false">S14-I14</f>
        <v>-1</v>
      </c>
      <c r="AE14" s="5" t="n">
        <f aca="false">V14-L14</f>
        <v>0.0333333333333334</v>
      </c>
      <c r="AF14" s="4" t="str">
        <f aca="false">IF(S14&gt;I14,"Gemini",IF(S14&lt;I14,"ChatGPT","empate"))</f>
        <v>ChatGPT</v>
      </c>
      <c r="AG14" s="4" t="str">
        <f aca="false">IF(V14&gt;L14+0.0001,"Gemini",IF(V14&lt;L14-0.0001,"ChatGPT","empate"))</f>
        <v>Gemini</v>
      </c>
    </row>
    <row r="15" customFormat="false" ht="39.55" hidden="false" customHeight="false" outlineLevel="0" collapsed="false">
      <c r="A15" s="4" t="n">
        <v>14</v>
      </c>
      <c r="B15" s="4" t="s">
        <v>98</v>
      </c>
      <c r="C15" s="4" t="s">
        <v>91</v>
      </c>
      <c r="D15" s="4" t="s">
        <v>56</v>
      </c>
      <c r="E15" s="4" t="s">
        <v>92</v>
      </c>
      <c r="F15" s="4" t="s">
        <v>47</v>
      </c>
      <c r="G15" s="4" t="s">
        <v>93</v>
      </c>
      <c r="H15" s="4" t="s">
        <v>74</v>
      </c>
      <c r="I15" s="4" t="n">
        <v>3</v>
      </c>
      <c r="J15" s="4" t="n">
        <v>2</v>
      </c>
      <c r="K15" s="4" t="n">
        <v>1</v>
      </c>
      <c r="L15" s="5" t="n">
        <f aca="false">IF(O15="executa",IFERROR(J15/(J15+K15),0),0)</f>
        <v>0.666666666666667</v>
      </c>
      <c r="M15" s="4" t="n">
        <v>3</v>
      </c>
      <c r="N15" s="4" t="s">
        <v>52</v>
      </c>
      <c r="O15" s="4" t="s">
        <v>51</v>
      </c>
      <c r="P15" s="4" t="s">
        <v>52</v>
      </c>
      <c r="Q15" s="4" t="s">
        <v>96</v>
      </c>
      <c r="R15" s="4" t="s">
        <v>72</v>
      </c>
      <c r="S15" s="4" t="n">
        <v>4</v>
      </c>
      <c r="T15" s="4" t="n">
        <v>1</v>
      </c>
      <c r="U15" s="4" t="n">
        <v>3</v>
      </c>
      <c r="V15" s="5" t="n">
        <f aca="false">IF(Y15="executa",IFERROR(T15/(T15+U15),0),0)</f>
        <v>0.25</v>
      </c>
      <c r="W15" s="4" t="n">
        <v>3</v>
      </c>
      <c r="X15" s="4" t="s">
        <v>52</v>
      </c>
      <c r="Y15" s="4" t="s">
        <v>51</v>
      </c>
      <c r="Z15" s="4" t="n">
        <v>1</v>
      </c>
      <c r="AA15" s="4" t="n">
        <v>0</v>
      </c>
      <c r="AB15" s="4" t="s">
        <v>96</v>
      </c>
      <c r="AC15" s="4" t="s">
        <v>97</v>
      </c>
      <c r="AD15" s="4" t="n">
        <f aca="false">S15-I15</f>
        <v>1</v>
      </c>
      <c r="AE15" s="5" t="n">
        <f aca="false">V15-L15</f>
        <v>-0.416666666666667</v>
      </c>
      <c r="AF15" s="4" t="str">
        <f aca="false">IF(S15&gt;I15,"Gemini",IF(S15&lt;I15,"ChatGPT","empate"))</f>
        <v>Gemini</v>
      </c>
      <c r="AG15" s="4" t="str">
        <f aca="false">IF(V15&gt;L15+0.0001,"Gemini",IF(V15&lt;L15-0.0001,"ChatGPT","empate"))</f>
        <v>ChatGPT</v>
      </c>
    </row>
    <row r="16" customFormat="false" ht="39.55" hidden="false" customHeight="false" outlineLevel="0" collapsed="false">
      <c r="A16" s="4" t="n">
        <v>15</v>
      </c>
      <c r="B16" s="4" t="s">
        <v>99</v>
      </c>
      <c r="C16" s="4" t="s">
        <v>91</v>
      </c>
      <c r="D16" s="4" t="s">
        <v>61</v>
      </c>
      <c r="E16" s="4" t="s">
        <v>92</v>
      </c>
      <c r="F16" s="4" t="s">
        <v>47</v>
      </c>
      <c r="G16" s="4" t="s">
        <v>93</v>
      </c>
      <c r="H16" s="4" t="s">
        <v>74</v>
      </c>
      <c r="I16" s="4" t="n">
        <v>14</v>
      </c>
      <c r="J16" s="4" t="n">
        <v>2</v>
      </c>
      <c r="K16" s="4" t="n">
        <v>12</v>
      </c>
      <c r="L16" s="5" t="n">
        <f aca="false">IF(O16="executa",IFERROR(J16/(J16+K16),0),0)</f>
        <v>0.142857142857143</v>
      </c>
      <c r="M16" s="4" t="n">
        <v>3</v>
      </c>
      <c r="N16" s="4" t="s">
        <v>52</v>
      </c>
      <c r="O16" s="4" t="s">
        <v>51</v>
      </c>
      <c r="P16" s="4" t="s">
        <v>52</v>
      </c>
      <c r="Q16" s="4" t="s">
        <v>76</v>
      </c>
      <c r="R16" s="4" t="s">
        <v>100</v>
      </c>
      <c r="S16" s="4" t="n">
        <v>6</v>
      </c>
      <c r="T16" s="4" t="n">
        <v>2</v>
      </c>
      <c r="U16" s="4" t="n">
        <v>4</v>
      </c>
      <c r="V16" s="5" t="n">
        <f aca="false">IF(Y16="executa",IFERROR(T16/(T16+U16),0),0)</f>
        <v>0.333333333333333</v>
      </c>
      <c r="W16" s="4" t="n">
        <v>3</v>
      </c>
      <c r="X16" s="4" t="s">
        <v>50</v>
      </c>
      <c r="Y16" s="4" t="s">
        <v>51</v>
      </c>
      <c r="Z16" s="4" t="n">
        <v>1</v>
      </c>
      <c r="AA16" s="4" t="n">
        <v>0</v>
      </c>
      <c r="AB16" s="4" t="s">
        <v>96</v>
      </c>
      <c r="AC16" s="4" t="s">
        <v>101</v>
      </c>
      <c r="AD16" s="4" t="n">
        <f aca="false">S16-I16</f>
        <v>-8</v>
      </c>
      <c r="AE16" s="5" t="n">
        <f aca="false">V16-L16</f>
        <v>0.19047619047619</v>
      </c>
      <c r="AF16" s="4" t="str">
        <f aca="false">IF(S16&gt;I16,"Gemini",IF(S16&lt;I16,"ChatGPT","empate"))</f>
        <v>ChatGPT</v>
      </c>
      <c r="AG16" s="4" t="str">
        <f aca="false">IF(V16&gt;L16+0.0001,"Gemini",IF(V16&lt;L16-0.0001,"ChatGPT","empate"))</f>
        <v>Gemini</v>
      </c>
    </row>
    <row r="17" customFormat="false" ht="39.55" hidden="false" customHeight="false" outlineLevel="0" collapsed="false">
      <c r="A17" s="4" t="n">
        <v>16</v>
      </c>
      <c r="B17" s="4" t="s">
        <v>102</v>
      </c>
      <c r="C17" s="4" t="s">
        <v>91</v>
      </c>
      <c r="D17" s="4" t="s">
        <v>45</v>
      </c>
      <c r="E17" s="4" t="s">
        <v>69</v>
      </c>
      <c r="F17" s="4" t="s">
        <v>47</v>
      </c>
      <c r="G17" s="4" t="s">
        <v>103</v>
      </c>
      <c r="H17" s="4" t="s">
        <v>74</v>
      </c>
      <c r="I17" s="4" t="n">
        <v>2</v>
      </c>
      <c r="J17" s="4" t="n">
        <v>2</v>
      </c>
      <c r="K17" s="4" t="n">
        <v>0</v>
      </c>
      <c r="L17" s="5" t="n">
        <f aca="false">IF(O17="executa",IFERROR(J17/(J17+K17),0),0)</f>
        <v>1</v>
      </c>
      <c r="M17" s="4" t="n">
        <v>0</v>
      </c>
      <c r="N17" s="4" t="s">
        <v>50</v>
      </c>
      <c r="O17" s="4" t="s">
        <v>51</v>
      </c>
      <c r="P17" s="4" t="s">
        <v>52</v>
      </c>
      <c r="Q17" s="4" t="s">
        <v>71</v>
      </c>
      <c r="R17" s="4" t="s">
        <v>82</v>
      </c>
      <c r="S17" s="4" t="n">
        <v>2</v>
      </c>
      <c r="T17" s="4" t="n">
        <v>2</v>
      </c>
      <c r="U17" s="4" t="n">
        <v>0</v>
      </c>
      <c r="V17" s="5" t="n">
        <f aca="false">IF(Y17="executa",IFERROR(T17/(T17+U17),0),0)</f>
        <v>1</v>
      </c>
      <c r="W17" s="4" t="n">
        <v>1</v>
      </c>
      <c r="X17" s="4" t="s">
        <v>50</v>
      </c>
      <c r="Y17" s="4" t="s">
        <v>51</v>
      </c>
      <c r="Z17" s="4" t="n">
        <v>1</v>
      </c>
      <c r="AA17" s="4" t="n">
        <v>0</v>
      </c>
      <c r="AB17" s="4" t="s">
        <v>104</v>
      </c>
      <c r="AC17" s="4" t="s">
        <v>105</v>
      </c>
      <c r="AD17" s="4" t="n">
        <f aca="false">S17-I17</f>
        <v>0</v>
      </c>
      <c r="AE17" s="5" t="n">
        <f aca="false">V17-L17</f>
        <v>0</v>
      </c>
      <c r="AF17" s="4" t="str">
        <f aca="false">IF(S17&gt;I17,"Gemini",IF(S17&lt;I17,"ChatGPT","empate"))</f>
        <v>empate</v>
      </c>
      <c r="AG17" s="4" t="str">
        <f aca="false">IF(V17&gt;L17+0.0001,"Gemini",IF(V17&lt;L17-0.0001,"ChatGPT","empate"))</f>
        <v>empate</v>
      </c>
    </row>
    <row r="18" customFormat="false" ht="39.55" hidden="false" customHeight="false" outlineLevel="0" collapsed="false">
      <c r="A18" s="4" t="n">
        <v>17</v>
      </c>
      <c r="B18" s="4" t="s">
        <v>106</v>
      </c>
      <c r="C18" s="4" t="s">
        <v>91</v>
      </c>
      <c r="D18" s="4" t="s">
        <v>56</v>
      </c>
      <c r="E18" s="4" t="s">
        <v>69</v>
      </c>
      <c r="F18" s="4" t="s">
        <v>47</v>
      </c>
      <c r="G18" s="4" t="s">
        <v>103</v>
      </c>
      <c r="H18" s="4" t="s">
        <v>74</v>
      </c>
      <c r="I18" s="4" t="n">
        <v>2</v>
      </c>
      <c r="J18" s="4" t="n">
        <v>0</v>
      </c>
      <c r="K18" s="4" t="n">
        <v>2</v>
      </c>
      <c r="L18" s="5" t="n">
        <f aca="false">IF(O18="executa",IFERROR(J18/(J18+K18),0),0)</f>
        <v>0</v>
      </c>
      <c r="M18" s="4" t="n">
        <v>3</v>
      </c>
      <c r="N18" s="4" t="s">
        <v>52</v>
      </c>
      <c r="O18" s="4" t="s">
        <v>75</v>
      </c>
      <c r="P18" s="4" t="s">
        <v>52</v>
      </c>
      <c r="Q18" s="4" t="s">
        <v>76</v>
      </c>
      <c r="R18" s="4" t="s">
        <v>86</v>
      </c>
      <c r="S18" s="4" t="n">
        <v>2</v>
      </c>
      <c r="T18" s="4" t="n">
        <v>0</v>
      </c>
      <c r="U18" s="4" t="n">
        <v>2</v>
      </c>
      <c r="V18" s="5" t="n">
        <f aca="false">IF(Y18="executa",IFERROR(T18/(T18+U18),0),0)</f>
        <v>0</v>
      </c>
      <c r="W18" s="4" t="n">
        <v>2</v>
      </c>
      <c r="X18" s="4" t="s">
        <v>52</v>
      </c>
      <c r="Y18" s="4" t="s">
        <v>75</v>
      </c>
      <c r="Z18" s="4" t="n">
        <v>1</v>
      </c>
      <c r="AA18" s="4" t="n">
        <v>0</v>
      </c>
      <c r="AB18" s="4" t="s">
        <v>87</v>
      </c>
      <c r="AC18" s="4" t="s">
        <v>105</v>
      </c>
      <c r="AD18" s="4" t="n">
        <f aca="false">S18-I18</f>
        <v>0</v>
      </c>
      <c r="AE18" s="5" t="n">
        <f aca="false">V18-L18</f>
        <v>0</v>
      </c>
      <c r="AF18" s="4" t="str">
        <f aca="false">IF(S18&gt;I18,"Gemini",IF(S18&lt;I18,"ChatGPT","empate"))</f>
        <v>empate</v>
      </c>
      <c r="AG18" s="4" t="str">
        <f aca="false">IF(V18&gt;L18+0.0001,"Gemini",IF(V18&lt;L18-0.0001,"ChatGPT","empate"))</f>
        <v>empate</v>
      </c>
    </row>
    <row r="19" customFormat="false" ht="39.55" hidden="false" customHeight="false" outlineLevel="0" collapsed="false">
      <c r="A19" s="4" t="n">
        <v>18</v>
      </c>
      <c r="B19" s="4" t="s">
        <v>107</v>
      </c>
      <c r="C19" s="4" t="s">
        <v>91</v>
      </c>
      <c r="D19" s="4" t="s">
        <v>61</v>
      </c>
      <c r="E19" s="4" t="s">
        <v>69</v>
      </c>
      <c r="F19" s="4" t="s">
        <v>47</v>
      </c>
      <c r="G19" s="4" t="s">
        <v>103</v>
      </c>
      <c r="H19" s="4" t="s">
        <v>74</v>
      </c>
      <c r="I19" s="4" t="n">
        <v>4</v>
      </c>
      <c r="J19" s="4" t="n">
        <v>4</v>
      </c>
      <c r="K19" s="4" t="n">
        <v>0</v>
      </c>
      <c r="L19" s="5" t="n">
        <f aca="false">IF(O19="executa",IFERROR(J19/(J19+K19),0),0)</f>
        <v>1</v>
      </c>
      <c r="M19" s="4" t="n">
        <v>0</v>
      </c>
      <c r="N19" s="4" t="s">
        <v>50</v>
      </c>
      <c r="O19" s="4" t="s">
        <v>51</v>
      </c>
      <c r="P19" s="4" t="s">
        <v>52</v>
      </c>
      <c r="Q19" s="4" t="s">
        <v>71</v>
      </c>
      <c r="R19" s="4" t="s">
        <v>108</v>
      </c>
      <c r="S19" s="4" t="n">
        <v>4</v>
      </c>
      <c r="T19" s="4" t="n">
        <v>4</v>
      </c>
      <c r="U19" s="4" t="n">
        <v>0</v>
      </c>
      <c r="V19" s="5" t="n">
        <f aca="false">IF(Y19="executa",IFERROR(T19/(T19+U19),0),0)</f>
        <v>1</v>
      </c>
      <c r="W19" s="4" t="n">
        <v>1</v>
      </c>
      <c r="X19" s="4" t="s">
        <v>52</v>
      </c>
      <c r="Y19" s="4" t="s">
        <v>51</v>
      </c>
      <c r="Z19" s="4" t="n">
        <v>1</v>
      </c>
      <c r="AA19" s="4" t="n">
        <v>0</v>
      </c>
      <c r="AB19" s="4" t="s">
        <v>104</v>
      </c>
      <c r="AC19" s="4" t="s">
        <v>84</v>
      </c>
      <c r="AD19" s="4" t="n">
        <f aca="false">S19-I19</f>
        <v>0</v>
      </c>
      <c r="AE19" s="5" t="n">
        <f aca="false">V19-L19</f>
        <v>0</v>
      </c>
      <c r="AF19" s="4" t="str">
        <f aca="false">IF(S19&gt;I19,"Gemini",IF(S19&lt;I19,"ChatGPT","empate"))</f>
        <v>empate</v>
      </c>
      <c r="AG19" s="4" t="str">
        <f aca="false">IF(V19&gt;L19+0.0001,"Gemini",IF(V19&lt;L19-0.0001,"ChatGPT","empate"))</f>
        <v>empate</v>
      </c>
    </row>
    <row r="20" customFormat="false" ht="26.85" hidden="false" customHeight="false" outlineLevel="0" collapsed="false">
      <c r="A20" s="4" t="n">
        <v>19</v>
      </c>
      <c r="B20" s="4" t="s">
        <v>109</v>
      </c>
      <c r="C20" s="4" t="s">
        <v>44</v>
      </c>
      <c r="D20" s="4" t="s">
        <v>45</v>
      </c>
      <c r="E20" s="4" t="s">
        <v>110</v>
      </c>
      <c r="F20" s="4" t="s">
        <v>111</v>
      </c>
      <c r="G20" s="4" t="s">
        <v>71</v>
      </c>
      <c r="H20" s="4" t="s">
        <v>49</v>
      </c>
      <c r="I20" s="4" t="n">
        <v>19</v>
      </c>
      <c r="J20" s="4" t="n">
        <v>19</v>
      </c>
      <c r="K20" s="4" t="n">
        <v>0</v>
      </c>
      <c r="L20" s="5" t="n">
        <f aca="false">IF(O20="executa",IFERROR(J20/(J20+K20),0),0)</f>
        <v>1</v>
      </c>
      <c r="M20" s="4" t="n">
        <v>1</v>
      </c>
      <c r="N20" s="4" t="s">
        <v>50</v>
      </c>
      <c r="O20" s="4" t="s">
        <v>51</v>
      </c>
      <c r="P20" s="4" t="s">
        <v>52</v>
      </c>
      <c r="Q20" s="4" t="s">
        <v>104</v>
      </c>
      <c r="R20" s="4" t="s">
        <v>71</v>
      </c>
      <c r="S20" s="4" t="n">
        <v>13</v>
      </c>
      <c r="T20" s="4" t="n">
        <v>13</v>
      </c>
      <c r="U20" s="4" t="n">
        <v>0</v>
      </c>
      <c r="V20" s="5" t="n">
        <f aca="false">IF(Y20="executa",IFERROR(T20/(T20+U20),0),0)</f>
        <v>1</v>
      </c>
      <c r="W20" s="4" t="n">
        <v>0</v>
      </c>
      <c r="X20" s="4" t="s">
        <v>50</v>
      </c>
      <c r="Y20" s="4" t="s">
        <v>51</v>
      </c>
      <c r="Z20" s="4" t="n">
        <v>2</v>
      </c>
      <c r="AA20" s="4" t="n">
        <v>1</v>
      </c>
      <c r="AB20" s="4" t="s">
        <v>71</v>
      </c>
      <c r="AC20" s="4" t="s">
        <v>71</v>
      </c>
      <c r="AD20" s="4" t="n">
        <f aca="false">S20-I20</f>
        <v>-6</v>
      </c>
      <c r="AE20" s="5" t="n">
        <f aca="false">V20-L20</f>
        <v>0</v>
      </c>
      <c r="AF20" s="4" t="str">
        <f aca="false">IF(S20&gt;I20,"Gemini",IF(S20&lt;I20,"ChatGPT","empate"))</f>
        <v>ChatGPT</v>
      </c>
      <c r="AG20" s="4" t="str">
        <f aca="false">IF(V20&gt;L20+0.0001,"Gemini",IF(V20&lt;L20-0.0001,"ChatGPT","empate"))</f>
        <v>empate</v>
      </c>
    </row>
    <row r="21" customFormat="false" ht="26.85" hidden="false" customHeight="false" outlineLevel="0" collapsed="false">
      <c r="A21" s="4" t="n">
        <v>20</v>
      </c>
      <c r="B21" s="4" t="s">
        <v>112</v>
      </c>
      <c r="C21" s="4" t="s">
        <v>44</v>
      </c>
      <c r="D21" s="4" t="s">
        <v>56</v>
      </c>
      <c r="E21" s="4" t="s">
        <v>110</v>
      </c>
      <c r="F21" s="4" t="s">
        <v>111</v>
      </c>
      <c r="G21" s="4" t="s">
        <v>71</v>
      </c>
      <c r="H21" s="4" t="s">
        <v>49</v>
      </c>
      <c r="I21" s="4" t="n">
        <v>6</v>
      </c>
      <c r="J21" s="4" t="n">
        <v>6</v>
      </c>
      <c r="K21" s="4" t="n">
        <v>0</v>
      </c>
      <c r="L21" s="5" t="n">
        <f aca="false">IF(O21="executa",IFERROR(J21/(J21+K21),0),0)</f>
        <v>1</v>
      </c>
      <c r="M21" s="4" t="n">
        <v>0</v>
      </c>
      <c r="N21" s="4" t="s">
        <v>50</v>
      </c>
      <c r="O21" s="4" t="s">
        <v>51</v>
      </c>
      <c r="P21" s="4" t="s">
        <v>52</v>
      </c>
      <c r="Q21" s="4" t="s">
        <v>71</v>
      </c>
      <c r="R21" s="4" t="s">
        <v>71</v>
      </c>
      <c r="S21" s="4" t="n">
        <v>7</v>
      </c>
      <c r="T21" s="4" t="n">
        <v>7</v>
      </c>
      <c r="U21" s="4" t="n">
        <v>0</v>
      </c>
      <c r="V21" s="5" t="n">
        <f aca="false">IF(Y21="executa",IFERROR(T21/(T21+U21),0),0)</f>
        <v>1</v>
      </c>
      <c r="W21" s="4" t="n">
        <v>0</v>
      </c>
      <c r="X21" s="4" t="s">
        <v>50</v>
      </c>
      <c r="Y21" s="4" t="s">
        <v>51</v>
      </c>
      <c r="Z21" s="4" t="n">
        <v>2</v>
      </c>
      <c r="AA21" s="4" t="n">
        <v>1</v>
      </c>
      <c r="AB21" s="4" t="s">
        <v>71</v>
      </c>
      <c r="AC21" s="4" t="s">
        <v>71</v>
      </c>
      <c r="AD21" s="4" t="n">
        <f aca="false">S21-I21</f>
        <v>1</v>
      </c>
      <c r="AE21" s="5" t="n">
        <f aca="false">V21-L21</f>
        <v>0</v>
      </c>
      <c r="AF21" s="4" t="str">
        <f aca="false">IF(S21&gt;I21,"Gemini",IF(S21&lt;I21,"ChatGPT","empate"))</f>
        <v>Gemini</v>
      </c>
      <c r="AG21" s="4" t="str">
        <f aca="false">IF(V21&gt;L21+0.0001,"Gemini",IF(V21&lt;L21-0.0001,"ChatGPT","empate"))</f>
        <v>empate</v>
      </c>
    </row>
    <row r="22" customFormat="false" ht="26.85" hidden="false" customHeight="false" outlineLevel="0" collapsed="false">
      <c r="A22" s="4" t="n">
        <v>21</v>
      </c>
      <c r="B22" s="4" t="s">
        <v>113</v>
      </c>
      <c r="C22" s="4" t="s">
        <v>44</v>
      </c>
      <c r="D22" s="4" t="s">
        <v>61</v>
      </c>
      <c r="E22" s="4" t="s">
        <v>110</v>
      </c>
      <c r="F22" s="4" t="s">
        <v>111</v>
      </c>
      <c r="G22" s="4" t="s">
        <v>71</v>
      </c>
      <c r="H22" s="4" t="s">
        <v>49</v>
      </c>
      <c r="I22" s="4" t="n">
        <v>21</v>
      </c>
      <c r="J22" s="4" t="n">
        <v>21</v>
      </c>
      <c r="K22" s="4" t="n">
        <v>0</v>
      </c>
      <c r="L22" s="5" t="n">
        <f aca="false">IF(O22="executa",IFERROR(J22/(J22+K22),0),0)</f>
        <v>1</v>
      </c>
      <c r="M22" s="4" t="n">
        <v>0</v>
      </c>
      <c r="N22" s="4" t="s">
        <v>50</v>
      </c>
      <c r="O22" s="4" t="s">
        <v>51</v>
      </c>
      <c r="P22" s="4" t="s">
        <v>52</v>
      </c>
      <c r="Q22" s="4" t="s">
        <v>71</v>
      </c>
      <c r="R22" s="4" t="s">
        <v>71</v>
      </c>
      <c r="S22" s="4" t="n">
        <v>11</v>
      </c>
      <c r="T22" s="4" t="n">
        <v>11</v>
      </c>
      <c r="U22" s="4" t="n">
        <v>0</v>
      </c>
      <c r="V22" s="5" t="n">
        <f aca="false">IF(Y22="executa",IFERROR(T22/(T22+U22),0),0)</f>
        <v>1</v>
      </c>
      <c r="W22" s="4" t="n">
        <v>0</v>
      </c>
      <c r="X22" s="4" t="s">
        <v>50</v>
      </c>
      <c r="Y22" s="4" t="s">
        <v>51</v>
      </c>
      <c r="Z22" s="4" t="n">
        <v>2</v>
      </c>
      <c r="AA22" s="4" t="n">
        <v>1</v>
      </c>
      <c r="AB22" s="4" t="s">
        <v>71</v>
      </c>
      <c r="AC22" s="4" t="s">
        <v>71</v>
      </c>
      <c r="AD22" s="4" t="n">
        <f aca="false">S22-I22</f>
        <v>-10</v>
      </c>
      <c r="AE22" s="5" t="n">
        <f aca="false">V22-L22</f>
        <v>0</v>
      </c>
      <c r="AF22" s="4" t="str">
        <f aca="false">IF(S22&gt;I22,"Gemini",IF(S22&lt;I22,"ChatGPT","empate"))</f>
        <v>ChatGPT</v>
      </c>
      <c r="AG22" s="4" t="str">
        <f aca="false">IF(V22&gt;L22+0.0001,"Gemini",IF(V22&lt;L22-0.0001,"ChatGPT","empate"))</f>
        <v>empate</v>
      </c>
    </row>
    <row r="23" customFormat="false" ht="26.85" hidden="false" customHeight="false" outlineLevel="0" collapsed="false">
      <c r="A23" s="4" t="n">
        <v>22</v>
      </c>
      <c r="B23" s="4" t="s">
        <v>114</v>
      </c>
      <c r="C23" s="4" t="s">
        <v>44</v>
      </c>
      <c r="D23" s="4" t="s">
        <v>45</v>
      </c>
      <c r="E23" s="4" t="s">
        <v>115</v>
      </c>
      <c r="F23" s="4" t="s">
        <v>111</v>
      </c>
      <c r="G23" s="4" t="s">
        <v>71</v>
      </c>
      <c r="H23" s="4" t="s">
        <v>49</v>
      </c>
      <c r="I23" s="4" t="n">
        <v>15</v>
      </c>
      <c r="J23" s="4" t="n">
        <v>15</v>
      </c>
      <c r="K23" s="4" t="n">
        <v>0</v>
      </c>
      <c r="L23" s="5" t="n">
        <f aca="false">IF(O23="executa",IFERROR(J23/(J23+K23),0),0)</f>
        <v>1</v>
      </c>
      <c r="M23" s="4" t="n">
        <v>1</v>
      </c>
      <c r="N23" s="4" t="s">
        <v>50</v>
      </c>
      <c r="O23" s="4" t="s">
        <v>51</v>
      </c>
      <c r="P23" s="4" t="s">
        <v>52</v>
      </c>
      <c r="Q23" s="4" t="s">
        <v>104</v>
      </c>
      <c r="R23" s="4" t="s">
        <v>71</v>
      </c>
      <c r="S23" s="4" t="n">
        <v>13</v>
      </c>
      <c r="T23" s="4" t="n">
        <v>13</v>
      </c>
      <c r="U23" s="4" t="n">
        <v>0</v>
      </c>
      <c r="V23" s="5" t="n">
        <f aca="false">IF(Y23="executa",IFERROR(T23/(T23+U23),0),0)</f>
        <v>1</v>
      </c>
      <c r="W23" s="4" t="n">
        <v>1</v>
      </c>
      <c r="X23" s="4" t="s">
        <v>50</v>
      </c>
      <c r="Y23" s="4" t="s">
        <v>51</v>
      </c>
      <c r="Z23" s="4" t="n">
        <v>1</v>
      </c>
      <c r="AA23" s="4" t="n">
        <v>0</v>
      </c>
      <c r="AB23" s="4" t="s">
        <v>104</v>
      </c>
      <c r="AC23" s="4" t="s">
        <v>71</v>
      </c>
      <c r="AD23" s="4" t="n">
        <f aca="false">S23-I23</f>
        <v>-2</v>
      </c>
      <c r="AE23" s="5" t="n">
        <f aca="false">V23-L23</f>
        <v>0</v>
      </c>
      <c r="AF23" s="4" t="str">
        <f aca="false">IF(S23&gt;I23,"Gemini",IF(S23&lt;I23,"ChatGPT","empate"))</f>
        <v>ChatGPT</v>
      </c>
      <c r="AG23" s="4" t="str">
        <f aca="false">IF(V23&gt;L23+0.0001,"Gemini",IF(V23&lt;L23-0.0001,"ChatGPT","empate"))</f>
        <v>empate</v>
      </c>
    </row>
    <row r="24" customFormat="false" ht="26.85" hidden="false" customHeight="false" outlineLevel="0" collapsed="false">
      <c r="A24" s="4" t="n">
        <v>23</v>
      </c>
      <c r="B24" s="4" t="s">
        <v>116</v>
      </c>
      <c r="C24" s="4" t="s">
        <v>44</v>
      </c>
      <c r="D24" s="4" t="s">
        <v>56</v>
      </c>
      <c r="E24" s="4" t="s">
        <v>115</v>
      </c>
      <c r="F24" s="4" t="s">
        <v>111</v>
      </c>
      <c r="G24" s="4" t="s">
        <v>71</v>
      </c>
      <c r="H24" s="4" t="s">
        <v>49</v>
      </c>
      <c r="I24" s="4" t="n">
        <v>4</v>
      </c>
      <c r="J24" s="4" t="n">
        <v>4</v>
      </c>
      <c r="K24" s="4" t="n">
        <v>0</v>
      </c>
      <c r="L24" s="5" t="n">
        <f aca="false">IF(O24="executa",IFERROR(J24/(J24+K24),0),0)</f>
        <v>1</v>
      </c>
      <c r="M24" s="4" t="n">
        <v>0</v>
      </c>
      <c r="N24" s="4" t="s">
        <v>50</v>
      </c>
      <c r="O24" s="4" t="s">
        <v>51</v>
      </c>
      <c r="P24" s="4" t="s">
        <v>52</v>
      </c>
      <c r="Q24" s="4" t="s">
        <v>71</v>
      </c>
      <c r="R24" s="4" t="s">
        <v>71</v>
      </c>
      <c r="S24" s="4" t="n">
        <v>6</v>
      </c>
      <c r="T24" s="4" t="n">
        <v>6</v>
      </c>
      <c r="U24" s="4" t="n">
        <v>0</v>
      </c>
      <c r="V24" s="5" t="n">
        <f aca="false">IF(Y24="executa",IFERROR(T24/(T24+U24),0),0)</f>
        <v>1</v>
      </c>
      <c r="W24" s="4" t="n">
        <v>0</v>
      </c>
      <c r="X24" s="4" t="s">
        <v>50</v>
      </c>
      <c r="Y24" s="4" t="s">
        <v>51</v>
      </c>
      <c r="Z24" s="4" t="n">
        <v>1</v>
      </c>
      <c r="AA24" s="4" t="n">
        <v>0</v>
      </c>
      <c r="AB24" s="4" t="s">
        <v>71</v>
      </c>
      <c r="AC24" s="4" t="s">
        <v>71</v>
      </c>
      <c r="AD24" s="4" t="n">
        <f aca="false">S24-I24</f>
        <v>2</v>
      </c>
      <c r="AE24" s="5" t="n">
        <f aca="false">V24-L24</f>
        <v>0</v>
      </c>
      <c r="AF24" s="4" t="str">
        <f aca="false">IF(S24&gt;I24,"Gemini",IF(S24&lt;I24,"ChatGPT","empate"))</f>
        <v>Gemini</v>
      </c>
      <c r="AG24" s="4" t="str">
        <f aca="false">IF(V24&gt;L24+0.0001,"Gemini",IF(V24&lt;L24-0.0001,"ChatGPT","empate"))</f>
        <v>empate</v>
      </c>
    </row>
    <row r="25" customFormat="false" ht="26.85" hidden="false" customHeight="false" outlineLevel="0" collapsed="false">
      <c r="A25" s="4" t="n">
        <v>24</v>
      </c>
      <c r="B25" s="4" t="s">
        <v>117</v>
      </c>
      <c r="C25" s="4" t="s">
        <v>44</v>
      </c>
      <c r="D25" s="4" t="s">
        <v>61</v>
      </c>
      <c r="E25" s="4" t="s">
        <v>115</v>
      </c>
      <c r="F25" s="4" t="s">
        <v>111</v>
      </c>
      <c r="G25" s="4" t="s">
        <v>71</v>
      </c>
      <c r="H25" s="4" t="s">
        <v>49</v>
      </c>
      <c r="I25" s="4" t="n">
        <v>19</v>
      </c>
      <c r="J25" s="4" t="n">
        <v>19</v>
      </c>
      <c r="K25" s="4" t="n">
        <v>0</v>
      </c>
      <c r="L25" s="5" t="n">
        <f aca="false">IF(O25="executa",IFERROR(J25/(J25+K25),0),0)</f>
        <v>1</v>
      </c>
      <c r="M25" s="4" t="n">
        <v>1</v>
      </c>
      <c r="N25" s="4" t="s">
        <v>50</v>
      </c>
      <c r="O25" s="4" t="s">
        <v>51</v>
      </c>
      <c r="P25" s="4" t="s">
        <v>52</v>
      </c>
      <c r="Q25" s="4" t="s">
        <v>104</v>
      </c>
      <c r="R25" s="4" t="s">
        <v>71</v>
      </c>
      <c r="S25" s="4" t="n">
        <v>13</v>
      </c>
      <c r="T25" s="4" t="n">
        <v>13</v>
      </c>
      <c r="U25" s="4" t="n">
        <v>0</v>
      </c>
      <c r="V25" s="5" t="n">
        <f aca="false">IF(Y25="executa",IFERROR(T25/(T25+U25),0),0)</f>
        <v>1</v>
      </c>
      <c r="W25" s="4" t="n">
        <v>1</v>
      </c>
      <c r="X25" s="4" t="s">
        <v>50</v>
      </c>
      <c r="Y25" s="4" t="s">
        <v>51</v>
      </c>
      <c r="Z25" s="4" t="n">
        <v>1</v>
      </c>
      <c r="AA25" s="4" t="n">
        <v>0</v>
      </c>
      <c r="AB25" s="4" t="s">
        <v>104</v>
      </c>
      <c r="AC25" s="4" t="s">
        <v>71</v>
      </c>
      <c r="AD25" s="4" t="n">
        <f aca="false">S25-I25</f>
        <v>-6</v>
      </c>
      <c r="AE25" s="5" t="n">
        <f aca="false">V25-L25</f>
        <v>0</v>
      </c>
      <c r="AF25" s="4" t="str">
        <f aca="false">IF(S25&gt;I25,"Gemini",IF(S25&lt;I25,"ChatGPT","empate"))</f>
        <v>ChatGPT</v>
      </c>
      <c r="AG25" s="4" t="str">
        <f aca="false">IF(V25&gt;L25+0.0001,"Gemini",IF(V25&lt;L25-0.0001,"ChatGPT","empate"))</f>
        <v>empate</v>
      </c>
    </row>
    <row r="26" customFormat="false" ht="15" hidden="false" customHeight="false" outlineLevel="0" collapsed="false">
      <c r="A26" s="4" t="n">
        <v>25</v>
      </c>
      <c r="B26" s="4" t="s">
        <v>118</v>
      </c>
      <c r="C26" s="4" t="s">
        <v>44</v>
      </c>
      <c r="D26" s="4" t="s">
        <v>45</v>
      </c>
      <c r="E26" s="4" t="s">
        <v>119</v>
      </c>
      <c r="F26" s="4" t="s">
        <v>111</v>
      </c>
      <c r="G26" s="4" t="s">
        <v>71</v>
      </c>
      <c r="H26" s="4" t="s">
        <v>49</v>
      </c>
      <c r="I26" s="4" t="n">
        <v>16</v>
      </c>
      <c r="J26" s="4" t="n">
        <v>16</v>
      </c>
      <c r="K26" s="4" t="n">
        <v>0</v>
      </c>
      <c r="L26" s="5" t="n">
        <f aca="false">IF(O26="executa",IFERROR(J26/(J26+K26),0),0)</f>
        <v>1</v>
      </c>
      <c r="M26" s="4" t="n">
        <v>0</v>
      </c>
      <c r="N26" s="4" t="s">
        <v>50</v>
      </c>
      <c r="O26" s="4" t="s">
        <v>51</v>
      </c>
      <c r="P26" s="4" t="s">
        <v>52</v>
      </c>
      <c r="Q26" s="4" t="s">
        <v>71</v>
      </c>
      <c r="R26" s="4" t="s">
        <v>71</v>
      </c>
      <c r="S26" s="4" t="n">
        <v>12</v>
      </c>
      <c r="T26" s="4" t="n">
        <v>12</v>
      </c>
      <c r="U26" s="4" t="n">
        <v>0</v>
      </c>
      <c r="V26" s="5" t="n">
        <f aca="false">IF(Y26="executa",IFERROR(T26/(T26+U26),0),0)</f>
        <v>1</v>
      </c>
      <c r="W26" s="4" t="n">
        <v>0</v>
      </c>
      <c r="X26" s="4" t="s">
        <v>50</v>
      </c>
      <c r="Y26" s="4" t="s">
        <v>51</v>
      </c>
      <c r="Z26" s="4" t="n">
        <v>1</v>
      </c>
      <c r="AA26" s="4" t="n">
        <v>0</v>
      </c>
      <c r="AB26" s="4" t="s">
        <v>71</v>
      </c>
      <c r="AC26" s="4" t="s">
        <v>71</v>
      </c>
      <c r="AD26" s="4" t="n">
        <f aca="false">S26-I26</f>
        <v>-4</v>
      </c>
      <c r="AE26" s="5" t="n">
        <f aca="false">V26-L26</f>
        <v>0</v>
      </c>
      <c r="AF26" s="4" t="str">
        <f aca="false">IF(S26&gt;I26,"Gemini",IF(S26&lt;I26,"ChatGPT","empate"))</f>
        <v>ChatGPT</v>
      </c>
      <c r="AG26" s="4" t="str">
        <f aca="false">IF(V26&gt;L26+0.0001,"Gemini",IF(V26&lt;L26-0.0001,"ChatGPT","empate"))</f>
        <v>empate</v>
      </c>
    </row>
    <row r="27" customFormat="false" ht="15" hidden="false" customHeight="false" outlineLevel="0" collapsed="false">
      <c r="A27" s="4" t="n">
        <v>26</v>
      </c>
      <c r="B27" s="4" t="s">
        <v>120</v>
      </c>
      <c r="C27" s="4" t="s">
        <v>44</v>
      </c>
      <c r="D27" s="4" t="s">
        <v>56</v>
      </c>
      <c r="E27" s="4" t="s">
        <v>119</v>
      </c>
      <c r="F27" s="4" t="s">
        <v>111</v>
      </c>
      <c r="G27" s="4" t="s">
        <v>71</v>
      </c>
      <c r="H27" s="4" t="s">
        <v>49</v>
      </c>
      <c r="I27" s="4" t="n">
        <v>7</v>
      </c>
      <c r="J27" s="4" t="n">
        <v>7</v>
      </c>
      <c r="K27" s="4" t="n">
        <v>0</v>
      </c>
      <c r="L27" s="5" t="n">
        <f aca="false">IF(O27="executa",IFERROR(J27/(J27+K27),0),0)</f>
        <v>1</v>
      </c>
      <c r="M27" s="4" t="n">
        <v>0</v>
      </c>
      <c r="N27" s="4" t="s">
        <v>50</v>
      </c>
      <c r="O27" s="4" t="s">
        <v>51</v>
      </c>
      <c r="P27" s="4" t="s">
        <v>52</v>
      </c>
      <c r="Q27" s="4" t="s">
        <v>71</v>
      </c>
      <c r="R27" s="4" t="s">
        <v>71</v>
      </c>
      <c r="S27" s="4" t="n">
        <v>8</v>
      </c>
      <c r="T27" s="4" t="n">
        <v>8</v>
      </c>
      <c r="U27" s="4" t="n">
        <v>0</v>
      </c>
      <c r="V27" s="5" t="n">
        <f aca="false">IF(Y27="executa",IFERROR(T27/(T27+U27),0),0)</f>
        <v>1</v>
      </c>
      <c r="W27" s="4" t="n">
        <v>0</v>
      </c>
      <c r="X27" s="4" t="s">
        <v>50</v>
      </c>
      <c r="Y27" s="4" t="s">
        <v>51</v>
      </c>
      <c r="Z27" s="4" t="n">
        <v>1</v>
      </c>
      <c r="AA27" s="4" t="n">
        <v>0</v>
      </c>
      <c r="AB27" s="4" t="s">
        <v>71</v>
      </c>
      <c r="AC27" s="4" t="s">
        <v>71</v>
      </c>
      <c r="AD27" s="4" t="n">
        <f aca="false">S27-I27</f>
        <v>1</v>
      </c>
      <c r="AE27" s="5" t="n">
        <f aca="false">V27-L27</f>
        <v>0</v>
      </c>
      <c r="AF27" s="4" t="str">
        <f aca="false">IF(S27&gt;I27,"Gemini",IF(S27&lt;I27,"ChatGPT","empate"))</f>
        <v>Gemini</v>
      </c>
      <c r="AG27" s="4" t="str">
        <f aca="false">IF(V27&gt;L27+0.0001,"Gemini",IF(V27&lt;L27-0.0001,"ChatGPT","empate"))</f>
        <v>empate</v>
      </c>
    </row>
    <row r="28" customFormat="false" ht="26.85" hidden="false" customHeight="false" outlineLevel="0" collapsed="false">
      <c r="A28" s="4" t="n">
        <v>27</v>
      </c>
      <c r="B28" s="4" t="s">
        <v>121</v>
      </c>
      <c r="C28" s="4" t="s">
        <v>44</v>
      </c>
      <c r="D28" s="4" t="s">
        <v>61</v>
      </c>
      <c r="E28" s="4" t="s">
        <v>119</v>
      </c>
      <c r="F28" s="4" t="s">
        <v>111</v>
      </c>
      <c r="G28" s="4" t="s">
        <v>71</v>
      </c>
      <c r="H28" s="4" t="s">
        <v>49</v>
      </c>
      <c r="I28" s="4" t="n">
        <v>23</v>
      </c>
      <c r="J28" s="4" t="n">
        <v>23</v>
      </c>
      <c r="K28" s="4" t="n">
        <v>0</v>
      </c>
      <c r="L28" s="5" t="n">
        <f aca="false">IF(O28="executa",IFERROR(J28/(J28+K28),0),0)</f>
        <v>1</v>
      </c>
      <c r="M28" s="4" t="n">
        <v>0</v>
      </c>
      <c r="N28" s="4" t="s">
        <v>50</v>
      </c>
      <c r="O28" s="4" t="s">
        <v>51</v>
      </c>
      <c r="P28" s="4" t="s">
        <v>52</v>
      </c>
      <c r="Q28" s="4" t="s">
        <v>71</v>
      </c>
      <c r="R28" s="4" t="s">
        <v>71</v>
      </c>
      <c r="S28" s="4" t="n">
        <v>12</v>
      </c>
      <c r="T28" s="4" t="n">
        <v>12</v>
      </c>
      <c r="U28" s="4" t="n">
        <v>0</v>
      </c>
      <c r="V28" s="5" t="n">
        <f aca="false">IF(Y28="executa",IFERROR(T28/(T28+U28),0),0)</f>
        <v>1</v>
      </c>
      <c r="W28" s="4" t="n">
        <v>0</v>
      </c>
      <c r="X28" s="4" t="s">
        <v>50</v>
      </c>
      <c r="Y28" s="4" t="s">
        <v>51</v>
      </c>
      <c r="Z28" s="4" t="n">
        <v>2</v>
      </c>
      <c r="AA28" s="4" t="n">
        <v>0</v>
      </c>
      <c r="AB28" s="4" t="s">
        <v>71</v>
      </c>
      <c r="AC28" s="4" t="s">
        <v>71</v>
      </c>
      <c r="AD28" s="4" t="n">
        <f aca="false">S28-I28</f>
        <v>-11</v>
      </c>
      <c r="AE28" s="5" t="n">
        <f aca="false">V28-L28</f>
        <v>0</v>
      </c>
      <c r="AF28" s="4" t="str">
        <f aca="false">IF(S28&gt;I28,"Gemini",IF(S28&lt;I28,"ChatGPT","empate"))</f>
        <v>ChatGPT</v>
      </c>
      <c r="AG28" s="4" t="str">
        <f aca="false">IF(V28&gt;L28+0.0001,"Gemini",IF(V28&lt;L28-0.0001,"ChatGPT","empate"))</f>
        <v>empate</v>
      </c>
    </row>
    <row r="29" customFormat="false" ht="26.85" hidden="false" customHeight="false" outlineLevel="0" collapsed="false">
      <c r="A29" s="4" t="n">
        <v>28</v>
      </c>
      <c r="B29" s="4" t="s">
        <v>122</v>
      </c>
      <c r="C29" s="4" t="s">
        <v>44</v>
      </c>
      <c r="D29" s="4" t="s">
        <v>45</v>
      </c>
      <c r="E29" s="4" t="s">
        <v>123</v>
      </c>
      <c r="F29" s="4" t="s">
        <v>111</v>
      </c>
      <c r="G29" s="4" t="s">
        <v>71</v>
      </c>
      <c r="H29" s="4" t="s">
        <v>49</v>
      </c>
      <c r="I29" s="4" t="n">
        <v>25</v>
      </c>
      <c r="J29" s="4" t="n">
        <v>25</v>
      </c>
      <c r="K29" s="4" t="n">
        <v>0</v>
      </c>
      <c r="L29" s="5" t="n">
        <f aca="false">IF(O29="executa",IFERROR(J29/(J29+K29),0),0)</f>
        <v>1</v>
      </c>
      <c r="M29" s="4" t="n">
        <v>0</v>
      </c>
      <c r="N29" s="4" t="s">
        <v>50</v>
      </c>
      <c r="O29" s="4" t="s">
        <v>51</v>
      </c>
      <c r="P29" s="4" t="s">
        <v>52</v>
      </c>
      <c r="Q29" s="4" t="s">
        <v>71</v>
      </c>
      <c r="R29" s="4" t="s">
        <v>71</v>
      </c>
      <c r="S29" s="4" t="n">
        <v>26</v>
      </c>
      <c r="T29" s="4" t="n">
        <v>26</v>
      </c>
      <c r="U29" s="4" t="n">
        <v>0</v>
      </c>
      <c r="V29" s="5" t="n">
        <f aca="false">IF(Y29="executa",IFERROR(T29/(T29+U29),0),0)</f>
        <v>1</v>
      </c>
      <c r="W29" s="4" t="n">
        <v>0</v>
      </c>
      <c r="X29" s="4" t="s">
        <v>50</v>
      </c>
      <c r="Y29" s="4" t="s">
        <v>51</v>
      </c>
      <c r="Z29" s="4" t="n">
        <v>2</v>
      </c>
      <c r="AA29" s="4" t="n">
        <v>1</v>
      </c>
      <c r="AB29" s="4" t="s">
        <v>71</v>
      </c>
      <c r="AC29" s="4" t="s">
        <v>71</v>
      </c>
      <c r="AD29" s="4" t="n">
        <f aca="false">S29-I29</f>
        <v>1</v>
      </c>
      <c r="AE29" s="5" t="n">
        <f aca="false">V29-L29</f>
        <v>0</v>
      </c>
      <c r="AF29" s="4" t="str">
        <f aca="false">IF(S29&gt;I29,"Gemini",IF(S29&lt;I29,"ChatGPT","empate"))</f>
        <v>Gemini</v>
      </c>
      <c r="AG29" s="4" t="str">
        <f aca="false">IF(V29&gt;L29+0.0001,"Gemini",IF(V29&lt;L29-0.0001,"ChatGPT","empate"))</f>
        <v>empate</v>
      </c>
    </row>
    <row r="30" customFormat="false" ht="26.85" hidden="false" customHeight="false" outlineLevel="0" collapsed="false">
      <c r="A30" s="4" t="n">
        <v>29</v>
      </c>
      <c r="B30" s="4" t="s">
        <v>124</v>
      </c>
      <c r="C30" s="4" t="s">
        <v>44</v>
      </c>
      <c r="D30" s="4" t="s">
        <v>56</v>
      </c>
      <c r="E30" s="4" t="s">
        <v>123</v>
      </c>
      <c r="F30" s="4" t="s">
        <v>111</v>
      </c>
      <c r="G30" s="4" t="s">
        <v>71</v>
      </c>
      <c r="H30" s="4" t="s">
        <v>49</v>
      </c>
      <c r="I30" s="4" t="n">
        <v>9</v>
      </c>
      <c r="J30" s="4" t="n">
        <v>9</v>
      </c>
      <c r="K30" s="4" t="n">
        <v>0</v>
      </c>
      <c r="L30" s="5" t="n">
        <f aca="false">IF(O30="executa",IFERROR(J30/(J30+K30),0),0)</f>
        <v>1</v>
      </c>
      <c r="M30" s="4" t="n">
        <v>0</v>
      </c>
      <c r="N30" s="4" t="s">
        <v>50</v>
      </c>
      <c r="O30" s="4" t="s">
        <v>51</v>
      </c>
      <c r="P30" s="4" t="s">
        <v>52</v>
      </c>
      <c r="Q30" s="4" t="s">
        <v>71</v>
      </c>
      <c r="R30" s="4" t="s">
        <v>71</v>
      </c>
      <c r="S30" s="4" t="n">
        <v>8</v>
      </c>
      <c r="T30" s="4" t="n">
        <v>8</v>
      </c>
      <c r="U30" s="4" t="n">
        <v>0</v>
      </c>
      <c r="V30" s="5" t="n">
        <f aca="false">IF(Y30="executa",IFERROR(T30/(T30+U30),0),0)</f>
        <v>1</v>
      </c>
      <c r="W30" s="4" t="n">
        <v>0</v>
      </c>
      <c r="X30" s="4" t="s">
        <v>50</v>
      </c>
      <c r="Y30" s="4" t="s">
        <v>51</v>
      </c>
      <c r="Z30" s="4" t="n">
        <v>1</v>
      </c>
      <c r="AA30" s="4" t="n">
        <v>0</v>
      </c>
      <c r="AB30" s="4" t="s">
        <v>71</v>
      </c>
      <c r="AC30" s="4" t="s">
        <v>71</v>
      </c>
      <c r="AD30" s="4" t="n">
        <f aca="false">S30-I30</f>
        <v>-1</v>
      </c>
      <c r="AE30" s="5" t="n">
        <f aca="false">V30-L30</f>
        <v>0</v>
      </c>
      <c r="AF30" s="4" t="str">
        <f aca="false">IF(S30&gt;I30,"Gemini",IF(S30&lt;I30,"ChatGPT","empate"))</f>
        <v>ChatGPT</v>
      </c>
      <c r="AG30" s="4" t="str">
        <f aca="false">IF(V30&gt;L30+0.0001,"Gemini",IF(V30&lt;L30-0.0001,"ChatGPT","empate"))</f>
        <v>empate</v>
      </c>
    </row>
    <row r="31" customFormat="false" ht="26.85" hidden="false" customHeight="false" outlineLevel="0" collapsed="false">
      <c r="A31" s="4" t="n">
        <v>30</v>
      </c>
      <c r="B31" s="4" t="s">
        <v>125</v>
      </c>
      <c r="C31" s="4" t="s">
        <v>44</v>
      </c>
      <c r="D31" s="4" t="s">
        <v>61</v>
      </c>
      <c r="E31" s="4" t="s">
        <v>123</v>
      </c>
      <c r="F31" s="4" t="s">
        <v>111</v>
      </c>
      <c r="G31" s="4" t="s">
        <v>71</v>
      </c>
      <c r="H31" s="4" t="s">
        <v>49</v>
      </c>
      <c r="I31" s="4" t="n">
        <v>24</v>
      </c>
      <c r="J31" s="4" t="n">
        <v>24</v>
      </c>
      <c r="K31" s="4" t="n">
        <v>0</v>
      </c>
      <c r="L31" s="5" t="n">
        <f aca="false">IF(O31="executa",IFERROR(J31/(J31+K31),0),0)</f>
        <v>1</v>
      </c>
      <c r="M31" s="4" t="n">
        <v>0</v>
      </c>
      <c r="N31" s="4" t="s">
        <v>50</v>
      </c>
      <c r="O31" s="4" t="s">
        <v>51</v>
      </c>
      <c r="P31" s="4" t="s">
        <v>52</v>
      </c>
      <c r="Q31" s="4" t="s">
        <v>71</v>
      </c>
      <c r="R31" s="4" t="s">
        <v>71</v>
      </c>
      <c r="S31" s="4" t="n">
        <v>15</v>
      </c>
      <c r="T31" s="4" t="n">
        <v>15</v>
      </c>
      <c r="U31" s="4" t="n">
        <v>0</v>
      </c>
      <c r="V31" s="5" t="n">
        <f aca="false">IF(Y31="executa",IFERROR(T31/(T31+U31),0),0)</f>
        <v>1</v>
      </c>
      <c r="W31" s="4" t="n">
        <v>0</v>
      </c>
      <c r="X31" s="4" t="s">
        <v>50</v>
      </c>
      <c r="Y31" s="4" t="s">
        <v>51</v>
      </c>
      <c r="Z31" s="4" t="n">
        <v>2</v>
      </c>
      <c r="AA31" s="4" t="n">
        <v>1</v>
      </c>
      <c r="AB31" s="4" t="s">
        <v>71</v>
      </c>
      <c r="AC31" s="4" t="s">
        <v>71</v>
      </c>
      <c r="AD31" s="4" t="n">
        <f aca="false">S31-I31</f>
        <v>-9</v>
      </c>
      <c r="AE31" s="5" t="n">
        <f aca="false">V31-L31</f>
        <v>0</v>
      </c>
      <c r="AF31" s="4" t="str">
        <f aca="false">IF(S31&gt;I31,"Gemini",IF(S31&lt;I31,"ChatGPT","empate"))</f>
        <v>ChatGPT</v>
      </c>
      <c r="AG31" s="4" t="str">
        <f aca="false">IF(V31&gt;L31+0.0001,"Gemini",IF(V31&lt;L31-0.0001,"ChatGPT","empate"))</f>
        <v>empate</v>
      </c>
    </row>
    <row r="32" customFormat="false" ht="26.85" hidden="false" customHeight="false" outlineLevel="0" collapsed="false">
      <c r="A32" s="4" t="n">
        <v>31</v>
      </c>
      <c r="B32" s="4" t="s">
        <v>126</v>
      </c>
      <c r="C32" s="4" t="s">
        <v>44</v>
      </c>
      <c r="D32" s="4" t="s">
        <v>45</v>
      </c>
      <c r="E32" s="4" t="s">
        <v>127</v>
      </c>
      <c r="F32" s="4" t="s">
        <v>111</v>
      </c>
      <c r="G32" s="4" t="s">
        <v>71</v>
      </c>
      <c r="H32" s="4" t="s">
        <v>49</v>
      </c>
      <c r="I32" s="4" t="n">
        <v>17</v>
      </c>
      <c r="J32" s="4" t="n">
        <v>17</v>
      </c>
      <c r="K32" s="4" t="n">
        <v>0</v>
      </c>
      <c r="L32" s="5" t="n">
        <f aca="false">IF(O32="executa",IFERROR(J32/(J32+K32),0),0)</f>
        <v>1</v>
      </c>
      <c r="M32" s="4" t="n">
        <v>1</v>
      </c>
      <c r="N32" s="4" t="s">
        <v>50</v>
      </c>
      <c r="O32" s="4" t="s">
        <v>51</v>
      </c>
      <c r="P32" s="4" t="s">
        <v>52</v>
      </c>
      <c r="Q32" s="4" t="s">
        <v>104</v>
      </c>
      <c r="R32" s="4" t="s">
        <v>71</v>
      </c>
      <c r="S32" s="4" t="n">
        <v>11</v>
      </c>
      <c r="T32" s="4" t="n">
        <v>11</v>
      </c>
      <c r="U32" s="4" t="n">
        <v>0</v>
      </c>
      <c r="V32" s="5" t="n">
        <f aca="false">IF(Y32="executa",IFERROR(T32/(T32+U32),0),0)</f>
        <v>1</v>
      </c>
      <c r="W32" s="4" t="n">
        <v>0</v>
      </c>
      <c r="X32" s="4" t="s">
        <v>50</v>
      </c>
      <c r="Y32" s="4" t="s">
        <v>51</v>
      </c>
      <c r="Z32" s="4" t="n">
        <v>1</v>
      </c>
      <c r="AA32" s="4" t="n">
        <v>0</v>
      </c>
      <c r="AB32" s="4" t="s">
        <v>71</v>
      </c>
      <c r="AC32" s="4" t="s">
        <v>71</v>
      </c>
      <c r="AD32" s="4" t="n">
        <f aca="false">S32-I32</f>
        <v>-6</v>
      </c>
      <c r="AE32" s="5" t="n">
        <f aca="false">V32-L32</f>
        <v>0</v>
      </c>
      <c r="AF32" s="4" t="str">
        <f aca="false">IF(S32&gt;I32,"Gemini",IF(S32&lt;I32,"ChatGPT","empate"))</f>
        <v>ChatGPT</v>
      </c>
      <c r="AG32" s="4" t="str">
        <f aca="false">IF(V32&gt;L32+0.0001,"Gemini",IF(V32&lt;L32-0.0001,"ChatGPT","empate"))</f>
        <v>empate</v>
      </c>
    </row>
    <row r="33" customFormat="false" ht="26.85" hidden="false" customHeight="false" outlineLevel="0" collapsed="false">
      <c r="A33" s="4" t="n">
        <v>32</v>
      </c>
      <c r="B33" s="4" t="s">
        <v>128</v>
      </c>
      <c r="C33" s="4" t="s">
        <v>44</v>
      </c>
      <c r="D33" s="4" t="s">
        <v>56</v>
      </c>
      <c r="E33" s="4" t="s">
        <v>127</v>
      </c>
      <c r="F33" s="4" t="s">
        <v>111</v>
      </c>
      <c r="G33" s="4" t="s">
        <v>71</v>
      </c>
      <c r="H33" s="4" t="s">
        <v>49</v>
      </c>
      <c r="I33" s="4" t="n">
        <v>6</v>
      </c>
      <c r="J33" s="4" t="n">
        <v>6</v>
      </c>
      <c r="K33" s="4" t="n">
        <v>0</v>
      </c>
      <c r="L33" s="5" t="n">
        <f aca="false">IF(O33="executa",IFERROR(J33/(J33+K33),0),0)</f>
        <v>1</v>
      </c>
      <c r="M33" s="4" t="n">
        <v>0</v>
      </c>
      <c r="N33" s="4" t="s">
        <v>50</v>
      </c>
      <c r="O33" s="4" t="s">
        <v>51</v>
      </c>
      <c r="P33" s="4" t="s">
        <v>52</v>
      </c>
      <c r="Q33" s="4" t="s">
        <v>71</v>
      </c>
      <c r="R33" s="4" t="s">
        <v>71</v>
      </c>
      <c r="S33" s="4" t="n">
        <v>8</v>
      </c>
      <c r="T33" s="4" t="n">
        <v>8</v>
      </c>
      <c r="U33" s="4" t="n">
        <v>0</v>
      </c>
      <c r="V33" s="5" t="n">
        <f aca="false">IF(Y33="executa",IFERROR(T33/(T33+U33),0),0)</f>
        <v>1</v>
      </c>
      <c r="W33" s="4" t="n">
        <v>0</v>
      </c>
      <c r="X33" s="4" t="s">
        <v>50</v>
      </c>
      <c r="Y33" s="4" t="s">
        <v>51</v>
      </c>
      <c r="Z33" s="4" t="n">
        <v>1</v>
      </c>
      <c r="AA33" s="4" t="n">
        <v>0</v>
      </c>
      <c r="AB33" s="4" t="s">
        <v>71</v>
      </c>
      <c r="AC33" s="4" t="s">
        <v>71</v>
      </c>
      <c r="AD33" s="4" t="n">
        <f aca="false">S33-I33</f>
        <v>2</v>
      </c>
      <c r="AE33" s="5" t="n">
        <f aca="false">V33-L33</f>
        <v>0</v>
      </c>
      <c r="AF33" s="4" t="str">
        <f aca="false">IF(S33&gt;I33,"Gemini",IF(S33&lt;I33,"ChatGPT","empate"))</f>
        <v>Gemini</v>
      </c>
      <c r="AG33" s="4" t="str">
        <f aca="false">IF(V33&gt;L33+0.0001,"Gemini",IF(V33&lt;L33-0.0001,"ChatGPT","empate"))</f>
        <v>empate</v>
      </c>
    </row>
    <row r="34" customFormat="false" ht="26.85" hidden="false" customHeight="false" outlineLevel="0" collapsed="false">
      <c r="A34" s="4" t="n">
        <v>33</v>
      </c>
      <c r="B34" s="4" t="s">
        <v>129</v>
      </c>
      <c r="C34" s="4" t="s">
        <v>44</v>
      </c>
      <c r="D34" s="4" t="s">
        <v>61</v>
      </c>
      <c r="E34" s="4" t="s">
        <v>127</v>
      </c>
      <c r="F34" s="4" t="s">
        <v>111</v>
      </c>
      <c r="G34" s="4" t="s">
        <v>71</v>
      </c>
      <c r="H34" s="4" t="s">
        <v>49</v>
      </c>
      <c r="I34" s="4" t="n">
        <v>19</v>
      </c>
      <c r="J34" s="4" t="n">
        <v>18</v>
      </c>
      <c r="K34" s="4" t="n">
        <v>1</v>
      </c>
      <c r="L34" s="5" t="n">
        <f aca="false">IF(O34="executa",IFERROR(J34/(J34+K34),0),0)</f>
        <v>0.947368421052632</v>
      </c>
      <c r="M34" s="4" t="n">
        <v>1</v>
      </c>
      <c r="N34" s="4" t="s">
        <v>50</v>
      </c>
      <c r="O34" s="4" t="s">
        <v>51</v>
      </c>
      <c r="P34" s="4" t="s">
        <v>52</v>
      </c>
      <c r="Q34" s="4" t="s">
        <v>57</v>
      </c>
      <c r="R34" s="4" t="s">
        <v>71</v>
      </c>
      <c r="S34" s="4" t="n">
        <v>11</v>
      </c>
      <c r="T34" s="4" t="n">
        <v>11</v>
      </c>
      <c r="U34" s="4" t="n">
        <v>0</v>
      </c>
      <c r="V34" s="5" t="n">
        <f aca="false">IF(Y34="executa",IFERROR(T34/(T34+U34),0),0)</f>
        <v>1</v>
      </c>
      <c r="W34" s="4" t="n">
        <v>0</v>
      </c>
      <c r="X34" s="4" t="s">
        <v>50</v>
      </c>
      <c r="Y34" s="4" t="s">
        <v>51</v>
      </c>
      <c r="Z34" s="4" t="n">
        <v>1</v>
      </c>
      <c r="AA34" s="4" t="n">
        <v>0</v>
      </c>
      <c r="AB34" s="4" t="s">
        <v>71</v>
      </c>
      <c r="AC34" s="4" t="s">
        <v>71</v>
      </c>
      <c r="AD34" s="4" t="n">
        <f aca="false">S34-I34</f>
        <v>-8</v>
      </c>
      <c r="AE34" s="5" t="n">
        <f aca="false">V34-L34</f>
        <v>0.0526315789473685</v>
      </c>
      <c r="AF34" s="4" t="str">
        <f aca="false">IF(S34&gt;I34,"Gemini",IF(S34&lt;I34,"ChatGPT","empate"))</f>
        <v>ChatGPT</v>
      </c>
      <c r="AG34" s="4" t="str">
        <f aca="false">IF(V34&gt;L34+0.0001,"Gemini",IF(V34&lt;L34-0.0001,"ChatGPT","empate"))</f>
        <v>Gemini</v>
      </c>
    </row>
    <row r="35" customFormat="false" ht="26.85" hidden="false" customHeight="false" outlineLevel="0" collapsed="false">
      <c r="A35" s="4" t="n">
        <v>34</v>
      </c>
      <c r="B35" s="4" t="s">
        <v>130</v>
      </c>
      <c r="C35" s="4" t="s">
        <v>44</v>
      </c>
      <c r="D35" s="4" t="s">
        <v>45</v>
      </c>
      <c r="E35" s="4" t="s">
        <v>131</v>
      </c>
      <c r="F35" s="4" t="s">
        <v>111</v>
      </c>
      <c r="G35" s="4" t="s">
        <v>71</v>
      </c>
      <c r="H35" s="4" t="s">
        <v>49</v>
      </c>
      <c r="I35" s="4" t="n">
        <v>20</v>
      </c>
      <c r="J35" s="4" t="n">
        <v>20</v>
      </c>
      <c r="K35" s="4" t="n">
        <v>0</v>
      </c>
      <c r="L35" s="5" t="n">
        <f aca="false">IF(O35="executa",IFERROR(J35/(J35+K35),0),0)</f>
        <v>1</v>
      </c>
      <c r="M35" s="4" t="n">
        <v>0</v>
      </c>
      <c r="N35" s="4" t="s">
        <v>50</v>
      </c>
      <c r="O35" s="4" t="s">
        <v>51</v>
      </c>
      <c r="P35" s="4" t="s">
        <v>52</v>
      </c>
      <c r="Q35" s="4" t="s">
        <v>71</v>
      </c>
      <c r="R35" s="4" t="s">
        <v>71</v>
      </c>
      <c r="S35" s="4" t="n">
        <v>16</v>
      </c>
      <c r="T35" s="4" t="n">
        <v>16</v>
      </c>
      <c r="U35" s="4" t="n">
        <v>0</v>
      </c>
      <c r="V35" s="5" t="n">
        <f aca="false">IF(Y35="executa",IFERROR(T35/(T35+U35),0),0)</f>
        <v>1</v>
      </c>
      <c r="W35" s="4" t="n">
        <v>0</v>
      </c>
      <c r="X35" s="4" t="s">
        <v>50</v>
      </c>
      <c r="Y35" s="4" t="s">
        <v>51</v>
      </c>
      <c r="Z35" s="4" t="n">
        <v>1</v>
      </c>
      <c r="AA35" s="4" t="n">
        <v>0</v>
      </c>
      <c r="AB35" s="4" t="s">
        <v>71</v>
      </c>
      <c r="AC35" s="4" t="s">
        <v>71</v>
      </c>
      <c r="AD35" s="4" t="n">
        <f aca="false">S35-I35</f>
        <v>-4</v>
      </c>
      <c r="AE35" s="5" t="n">
        <f aca="false">V35-L35</f>
        <v>0</v>
      </c>
      <c r="AF35" s="4" t="str">
        <f aca="false">IF(S35&gt;I35,"Gemini",IF(S35&lt;I35,"ChatGPT","empate"))</f>
        <v>ChatGPT</v>
      </c>
      <c r="AG35" s="4" t="str">
        <f aca="false">IF(V35&gt;L35+0.0001,"Gemini",IF(V35&lt;L35-0.0001,"ChatGPT","empate"))</f>
        <v>empate</v>
      </c>
    </row>
    <row r="36" customFormat="false" ht="26.85" hidden="false" customHeight="false" outlineLevel="0" collapsed="false">
      <c r="A36" s="4" t="n">
        <v>35</v>
      </c>
      <c r="B36" s="4" t="s">
        <v>132</v>
      </c>
      <c r="C36" s="4" t="s">
        <v>44</v>
      </c>
      <c r="D36" s="4" t="s">
        <v>56</v>
      </c>
      <c r="E36" s="4" t="s">
        <v>131</v>
      </c>
      <c r="F36" s="4" t="s">
        <v>111</v>
      </c>
      <c r="G36" s="4" t="s">
        <v>71</v>
      </c>
      <c r="H36" s="4" t="s">
        <v>49</v>
      </c>
      <c r="I36" s="4" t="n">
        <v>8</v>
      </c>
      <c r="J36" s="4" t="n">
        <v>8</v>
      </c>
      <c r="K36" s="4" t="n">
        <v>0</v>
      </c>
      <c r="L36" s="5" t="n">
        <f aca="false">IF(O36="executa",IFERROR(J36/(J36+K36),0),0)</f>
        <v>1</v>
      </c>
      <c r="M36" s="4" t="n">
        <v>0</v>
      </c>
      <c r="N36" s="4" t="s">
        <v>50</v>
      </c>
      <c r="O36" s="4" t="s">
        <v>51</v>
      </c>
      <c r="P36" s="4" t="s">
        <v>52</v>
      </c>
      <c r="Q36" s="4" t="s">
        <v>71</v>
      </c>
      <c r="R36" s="4" t="s">
        <v>71</v>
      </c>
      <c r="S36" s="4" t="n">
        <v>7</v>
      </c>
      <c r="T36" s="4" t="n">
        <v>7</v>
      </c>
      <c r="U36" s="4" t="n">
        <v>0</v>
      </c>
      <c r="V36" s="5" t="n">
        <f aca="false">IF(Y36="executa",IFERROR(T36/(T36+U36),0),0)</f>
        <v>1</v>
      </c>
      <c r="W36" s="4" t="n">
        <v>0</v>
      </c>
      <c r="X36" s="4" t="s">
        <v>50</v>
      </c>
      <c r="Y36" s="4" t="s">
        <v>51</v>
      </c>
      <c r="Z36" s="4" t="n">
        <v>2</v>
      </c>
      <c r="AA36" s="4" t="n">
        <v>1</v>
      </c>
      <c r="AB36" s="4" t="s">
        <v>71</v>
      </c>
      <c r="AC36" s="4" t="s">
        <v>71</v>
      </c>
      <c r="AD36" s="4" t="n">
        <f aca="false">S36-I36</f>
        <v>-1</v>
      </c>
      <c r="AE36" s="5" t="n">
        <f aca="false">V36-L36</f>
        <v>0</v>
      </c>
      <c r="AF36" s="4" t="str">
        <f aca="false">IF(S36&gt;I36,"Gemini",IF(S36&lt;I36,"ChatGPT","empate"))</f>
        <v>ChatGPT</v>
      </c>
      <c r="AG36" s="4" t="str">
        <f aca="false">IF(V36&gt;L36+0.0001,"Gemini",IF(V36&lt;L36-0.0001,"ChatGPT","empate"))</f>
        <v>empate</v>
      </c>
    </row>
    <row r="37" customFormat="false" ht="26.85" hidden="false" customHeight="false" outlineLevel="0" collapsed="false">
      <c r="A37" s="4" t="n">
        <v>36</v>
      </c>
      <c r="B37" s="4" t="s">
        <v>133</v>
      </c>
      <c r="C37" s="4" t="s">
        <v>44</v>
      </c>
      <c r="D37" s="4" t="s">
        <v>61</v>
      </c>
      <c r="E37" s="4" t="s">
        <v>131</v>
      </c>
      <c r="F37" s="4" t="s">
        <v>111</v>
      </c>
      <c r="G37" s="4" t="s">
        <v>71</v>
      </c>
      <c r="H37" s="4" t="s">
        <v>49</v>
      </c>
      <c r="I37" s="4" t="n">
        <v>37</v>
      </c>
      <c r="J37" s="4" t="n">
        <v>37</v>
      </c>
      <c r="K37" s="4" t="n">
        <v>0</v>
      </c>
      <c r="L37" s="5" t="n">
        <f aca="false">IF(O37="executa",IFERROR(J37/(J37+K37),0),0)</f>
        <v>1</v>
      </c>
      <c r="M37" s="4" t="n">
        <v>0</v>
      </c>
      <c r="N37" s="4" t="s">
        <v>50</v>
      </c>
      <c r="O37" s="4" t="s">
        <v>51</v>
      </c>
      <c r="P37" s="4" t="s">
        <v>52</v>
      </c>
      <c r="Q37" s="4" t="s">
        <v>71</v>
      </c>
      <c r="R37" s="4" t="s">
        <v>71</v>
      </c>
      <c r="S37" s="4" t="n">
        <v>16</v>
      </c>
      <c r="T37" s="4" t="n">
        <v>16</v>
      </c>
      <c r="U37" s="4" t="n">
        <v>0</v>
      </c>
      <c r="V37" s="5" t="n">
        <f aca="false">IF(Y37="executa",IFERROR(T37/(T37+U37),0),0)</f>
        <v>1</v>
      </c>
      <c r="W37" s="4" t="n">
        <v>0</v>
      </c>
      <c r="X37" s="4" t="s">
        <v>50</v>
      </c>
      <c r="Y37" s="4" t="s">
        <v>51</v>
      </c>
      <c r="Z37" s="4" t="n">
        <v>1</v>
      </c>
      <c r="AA37" s="4" t="n">
        <v>0</v>
      </c>
      <c r="AB37" s="4" t="s">
        <v>71</v>
      </c>
      <c r="AC37" s="4" t="s">
        <v>71</v>
      </c>
      <c r="AD37" s="4" t="n">
        <f aca="false">S37-I37</f>
        <v>-21</v>
      </c>
      <c r="AE37" s="5" t="n">
        <f aca="false">V37-L37</f>
        <v>0</v>
      </c>
      <c r="AF37" s="4" t="str">
        <f aca="false">IF(S37&gt;I37,"Gemini",IF(S37&lt;I37,"ChatGPT","empate"))</f>
        <v>ChatGPT</v>
      </c>
      <c r="AG37" s="4" t="str">
        <f aca="false">IF(V37&gt;L37+0.0001,"Gemini",IF(V37&lt;L37-0.0001,"ChatGPT","empate"))</f>
        <v>empate</v>
      </c>
    </row>
    <row r="38" customFormat="false" ht="26.85" hidden="false" customHeight="false" outlineLevel="0" collapsed="false">
      <c r="A38" s="4" t="n">
        <v>37</v>
      </c>
      <c r="B38" s="4" t="s">
        <v>134</v>
      </c>
      <c r="C38" s="4" t="s">
        <v>44</v>
      </c>
      <c r="D38" s="4" t="s">
        <v>45</v>
      </c>
      <c r="E38" s="4" t="s">
        <v>135</v>
      </c>
      <c r="F38" s="4" t="s">
        <v>136</v>
      </c>
      <c r="G38" s="4" t="s">
        <v>71</v>
      </c>
      <c r="H38" s="4" t="s">
        <v>49</v>
      </c>
      <c r="I38" s="4" t="n">
        <v>13</v>
      </c>
      <c r="J38" s="4" t="n">
        <v>13</v>
      </c>
      <c r="K38" s="4" t="n">
        <v>0</v>
      </c>
      <c r="L38" s="5" t="n">
        <f aca="false">IF(O38="executa",IFERROR(J38/(J38+K38),0),0)</f>
        <v>1</v>
      </c>
      <c r="M38" s="4" t="n">
        <v>0</v>
      </c>
      <c r="N38" s="4" t="s">
        <v>50</v>
      </c>
      <c r="O38" s="4" t="s">
        <v>51</v>
      </c>
      <c r="P38" s="4" t="s">
        <v>52</v>
      </c>
      <c r="Q38" s="4" t="s">
        <v>53</v>
      </c>
      <c r="R38" s="4" t="s">
        <v>137</v>
      </c>
      <c r="S38" s="4" t="n">
        <v>10</v>
      </c>
      <c r="T38" s="4" t="n">
        <v>10</v>
      </c>
      <c r="U38" s="4" t="n">
        <v>0</v>
      </c>
      <c r="V38" s="5" t="n">
        <f aca="false">IF(Y38="executa",IFERROR(T38/(T38+U38),0),0)</f>
        <v>1</v>
      </c>
      <c r="W38" s="4" t="n">
        <v>0</v>
      </c>
      <c r="X38" s="4" t="s">
        <v>50</v>
      </c>
      <c r="Y38" s="4" t="s">
        <v>51</v>
      </c>
      <c r="Z38" s="4" t="n">
        <v>3</v>
      </c>
      <c r="AA38" s="4" t="n">
        <v>2</v>
      </c>
      <c r="AB38" s="4" t="s">
        <v>71</v>
      </c>
      <c r="AC38" s="4" t="s">
        <v>71</v>
      </c>
      <c r="AD38" s="4" t="n">
        <f aca="false">S38-I38</f>
        <v>-3</v>
      </c>
      <c r="AE38" s="5" t="n">
        <f aca="false">V38-L38</f>
        <v>0</v>
      </c>
      <c r="AF38" s="4" t="str">
        <f aca="false">IF(S38&gt;I38,"Gemini",IF(S38&lt;I38,"ChatGPT","empate"))</f>
        <v>ChatGPT</v>
      </c>
      <c r="AG38" s="4" t="str">
        <f aca="false">IF(V38&gt;L38+0.0001,"Gemini",IF(V38&lt;L38-0.0001,"ChatGPT","empate"))</f>
        <v>empate</v>
      </c>
    </row>
    <row r="39" customFormat="false" ht="26.85" hidden="false" customHeight="false" outlineLevel="0" collapsed="false">
      <c r="A39" s="4" t="n">
        <v>38</v>
      </c>
      <c r="B39" s="4" t="s">
        <v>138</v>
      </c>
      <c r="C39" s="4" t="s">
        <v>44</v>
      </c>
      <c r="D39" s="4" t="s">
        <v>56</v>
      </c>
      <c r="E39" s="4" t="s">
        <v>135</v>
      </c>
      <c r="F39" s="4" t="s">
        <v>136</v>
      </c>
      <c r="G39" s="4" t="s">
        <v>71</v>
      </c>
      <c r="H39" s="4" t="s">
        <v>49</v>
      </c>
      <c r="I39" s="4" t="n">
        <v>4</v>
      </c>
      <c r="J39" s="4" t="n">
        <v>4</v>
      </c>
      <c r="K39" s="4" t="n">
        <v>0</v>
      </c>
      <c r="L39" s="5" t="n">
        <f aca="false">IF(O39="executa",IFERROR(J39/(J39+K39),0),0)</f>
        <v>1</v>
      </c>
      <c r="M39" s="4" t="n">
        <v>0</v>
      </c>
      <c r="N39" s="4" t="s">
        <v>50</v>
      </c>
      <c r="O39" s="4" t="s">
        <v>51</v>
      </c>
      <c r="P39" s="4" t="s">
        <v>52</v>
      </c>
      <c r="Q39" s="4" t="s">
        <v>139</v>
      </c>
      <c r="R39" s="4" t="s">
        <v>140</v>
      </c>
      <c r="S39" s="4" t="n">
        <v>5</v>
      </c>
      <c r="T39" s="4" t="n">
        <v>5</v>
      </c>
      <c r="U39" s="4" t="n">
        <v>0</v>
      </c>
      <c r="V39" s="5" t="n">
        <f aca="false">IF(Y39="executa",IFERROR(T39/(T39+U39),0),0)</f>
        <v>1</v>
      </c>
      <c r="W39" s="4" t="n">
        <v>0</v>
      </c>
      <c r="X39" s="4" t="s">
        <v>50</v>
      </c>
      <c r="Y39" s="4" t="s">
        <v>51</v>
      </c>
      <c r="Z39" s="4" t="n">
        <v>1</v>
      </c>
      <c r="AA39" s="4" t="n">
        <v>0</v>
      </c>
      <c r="AB39" s="4" t="s">
        <v>71</v>
      </c>
      <c r="AC39" s="4" t="s">
        <v>71</v>
      </c>
      <c r="AD39" s="4" t="n">
        <f aca="false">S39-I39</f>
        <v>1</v>
      </c>
      <c r="AE39" s="5" t="n">
        <f aca="false">V39-L39</f>
        <v>0</v>
      </c>
      <c r="AF39" s="4" t="str">
        <f aca="false">IF(S39&gt;I39,"Gemini",IF(S39&lt;I39,"ChatGPT","empate"))</f>
        <v>Gemini</v>
      </c>
      <c r="AG39" s="4" t="str">
        <f aca="false">IF(V39&gt;L39+0.0001,"Gemini",IF(V39&lt;L39-0.0001,"ChatGPT","empate"))</f>
        <v>empate</v>
      </c>
    </row>
    <row r="40" customFormat="false" ht="26.85" hidden="false" customHeight="false" outlineLevel="0" collapsed="false">
      <c r="A40" s="4" t="n">
        <v>39</v>
      </c>
      <c r="B40" s="4" t="s">
        <v>141</v>
      </c>
      <c r="C40" s="4" t="s">
        <v>44</v>
      </c>
      <c r="D40" s="4" t="s">
        <v>61</v>
      </c>
      <c r="E40" s="4" t="s">
        <v>135</v>
      </c>
      <c r="F40" s="4" t="s">
        <v>136</v>
      </c>
      <c r="G40" s="4" t="s">
        <v>71</v>
      </c>
      <c r="H40" s="4" t="s">
        <v>49</v>
      </c>
      <c r="I40" s="4" t="n">
        <v>15</v>
      </c>
      <c r="J40" s="4" t="n">
        <v>15</v>
      </c>
      <c r="K40" s="4" t="n">
        <v>0</v>
      </c>
      <c r="L40" s="5" t="n">
        <f aca="false">IF(O40="executa",IFERROR(J40/(J40+K40),0),0)</f>
        <v>1</v>
      </c>
      <c r="M40" s="4" t="n">
        <v>0</v>
      </c>
      <c r="N40" s="4" t="s">
        <v>50</v>
      </c>
      <c r="O40" s="4" t="s">
        <v>51</v>
      </c>
      <c r="P40" s="4" t="s">
        <v>52</v>
      </c>
      <c r="Q40" s="4" t="s">
        <v>53</v>
      </c>
      <c r="R40" s="4" t="s">
        <v>137</v>
      </c>
      <c r="S40" s="4" t="n">
        <v>9</v>
      </c>
      <c r="T40" s="4" t="n">
        <v>9</v>
      </c>
      <c r="U40" s="4" t="n">
        <v>0</v>
      </c>
      <c r="V40" s="5" t="n">
        <f aca="false">IF(Y40="executa",IFERROR(T40/(T40+U40),0),0)</f>
        <v>1</v>
      </c>
      <c r="W40" s="4" t="n">
        <v>0</v>
      </c>
      <c r="X40" s="4" t="s">
        <v>50</v>
      </c>
      <c r="Y40" s="4" t="s">
        <v>51</v>
      </c>
      <c r="Z40" s="4" t="n">
        <v>1</v>
      </c>
      <c r="AA40" s="4" t="n">
        <v>0</v>
      </c>
      <c r="AB40" s="4" t="s">
        <v>71</v>
      </c>
      <c r="AC40" s="4" t="s">
        <v>71</v>
      </c>
      <c r="AD40" s="4" t="n">
        <f aca="false">S40-I40</f>
        <v>-6</v>
      </c>
      <c r="AE40" s="5" t="n">
        <f aca="false">V40-L40</f>
        <v>0</v>
      </c>
      <c r="AF40" s="4" t="str">
        <f aca="false">IF(S40&gt;I40,"Gemini",IF(S40&lt;I40,"ChatGPT","empate"))</f>
        <v>ChatGPT</v>
      </c>
      <c r="AG40" s="4" t="str">
        <f aca="false">IF(V40&gt;L40+0.0001,"Gemini",IF(V40&lt;L40-0.0001,"ChatGPT","empate"))</f>
        <v>empate</v>
      </c>
    </row>
    <row r="41" customFormat="false" ht="15" hidden="false" customHeight="false" outlineLevel="0" collapsed="false">
      <c r="A41" s="4" t="n">
        <v>40</v>
      </c>
      <c r="B41" s="4" t="s">
        <v>142</v>
      </c>
      <c r="C41" s="4" t="s">
        <v>44</v>
      </c>
      <c r="D41" s="4" t="s">
        <v>45</v>
      </c>
      <c r="E41" s="4" t="s">
        <v>143</v>
      </c>
      <c r="F41" s="4" t="s">
        <v>111</v>
      </c>
      <c r="G41" s="4" t="s">
        <v>71</v>
      </c>
      <c r="H41" s="4" t="s">
        <v>49</v>
      </c>
      <c r="I41" s="4" t="n">
        <v>33</v>
      </c>
      <c r="J41" s="4" t="n">
        <v>33</v>
      </c>
      <c r="K41" s="4" t="n">
        <v>0</v>
      </c>
      <c r="L41" s="5" t="n">
        <f aca="false">IF(O41="executa",IFERROR(J41/(J41+K41),0),0)</f>
        <v>1</v>
      </c>
      <c r="M41" s="4" t="n">
        <v>0</v>
      </c>
      <c r="N41" s="4" t="s">
        <v>50</v>
      </c>
      <c r="O41" s="4" t="s">
        <v>51</v>
      </c>
      <c r="P41" s="4" t="s">
        <v>52</v>
      </c>
      <c r="Q41" s="4" t="s">
        <v>71</v>
      </c>
      <c r="R41" s="4" t="s">
        <v>71</v>
      </c>
      <c r="S41" s="4" t="n">
        <v>23</v>
      </c>
      <c r="T41" s="4" t="n">
        <v>23</v>
      </c>
      <c r="U41" s="4" t="n">
        <v>0</v>
      </c>
      <c r="V41" s="5" t="n">
        <f aca="false">IF(Y41="executa",IFERROR(T41/(T41+U41),0),0)</f>
        <v>1</v>
      </c>
      <c r="W41" s="4" t="n">
        <v>0</v>
      </c>
      <c r="X41" s="4" t="s">
        <v>50</v>
      </c>
      <c r="Y41" s="4" t="s">
        <v>51</v>
      </c>
      <c r="Z41" s="4" t="n">
        <v>3</v>
      </c>
      <c r="AA41" s="4" t="n">
        <v>2</v>
      </c>
      <c r="AB41" s="4" t="s">
        <v>71</v>
      </c>
      <c r="AC41" s="4" t="s">
        <v>71</v>
      </c>
      <c r="AD41" s="4" t="n">
        <f aca="false">S41-I41</f>
        <v>-10</v>
      </c>
      <c r="AE41" s="5" t="n">
        <f aca="false">V41-L41</f>
        <v>0</v>
      </c>
      <c r="AF41" s="4" t="str">
        <f aca="false">IF(S41&gt;I41,"Gemini",IF(S41&lt;I41,"ChatGPT","empate"))</f>
        <v>ChatGPT</v>
      </c>
      <c r="AG41" s="4" t="str">
        <f aca="false">IF(V41&gt;L41+0.0001,"Gemini",IF(V41&lt;L41-0.0001,"ChatGPT","empate"))</f>
        <v>empate</v>
      </c>
    </row>
    <row r="42" customFormat="false" ht="15" hidden="false" customHeight="false" outlineLevel="0" collapsed="false">
      <c r="A42" s="4" t="n">
        <v>41</v>
      </c>
      <c r="B42" s="4" t="s">
        <v>144</v>
      </c>
      <c r="C42" s="4" t="s">
        <v>44</v>
      </c>
      <c r="D42" s="4" t="s">
        <v>56</v>
      </c>
      <c r="E42" s="4" t="s">
        <v>143</v>
      </c>
      <c r="F42" s="4" t="s">
        <v>111</v>
      </c>
      <c r="G42" s="4" t="s">
        <v>71</v>
      </c>
      <c r="H42" s="4" t="s">
        <v>49</v>
      </c>
      <c r="I42" s="4" t="n">
        <v>14</v>
      </c>
      <c r="J42" s="4" t="n">
        <v>14</v>
      </c>
      <c r="K42" s="4" t="n">
        <v>0</v>
      </c>
      <c r="L42" s="5" t="n">
        <f aca="false">IF(O42="executa",IFERROR(J42/(J42+K42),0),0)</f>
        <v>1</v>
      </c>
      <c r="M42" s="4" t="n">
        <v>0</v>
      </c>
      <c r="N42" s="4" t="s">
        <v>50</v>
      </c>
      <c r="O42" s="4" t="s">
        <v>51</v>
      </c>
      <c r="P42" s="4" t="s">
        <v>52</v>
      </c>
      <c r="Q42" s="4" t="s">
        <v>71</v>
      </c>
      <c r="R42" s="4" t="s">
        <v>71</v>
      </c>
      <c r="S42" s="4" t="n">
        <v>9</v>
      </c>
      <c r="T42" s="4" t="n">
        <v>9</v>
      </c>
      <c r="U42" s="4" t="n">
        <v>0</v>
      </c>
      <c r="V42" s="5" t="n">
        <f aca="false">IF(Y42="executa",IFERROR(T42/(T42+U42),0),0)</f>
        <v>1</v>
      </c>
      <c r="W42" s="4" t="n">
        <v>0</v>
      </c>
      <c r="X42" s="4" t="s">
        <v>50</v>
      </c>
      <c r="Y42" s="4" t="s">
        <v>51</v>
      </c>
      <c r="Z42" s="4" t="n">
        <v>1</v>
      </c>
      <c r="AA42" s="4" t="n">
        <v>0</v>
      </c>
      <c r="AB42" s="4" t="s">
        <v>71</v>
      </c>
      <c r="AC42" s="4" t="s">
        <v>71</v>
      </c>
      <c r="AD42" s="4" t="n">
        <f aca="false">S42-I42</f>
        <v>-5</v>
      </c>
      <c r="AE42" s="5" t="n">
        <f aca="false">V42-L42</f>
        <v>0</v>
      </c>
      <c r="AF42" s="4" t="str">
        <f aca="false">IF(S42&gt;I42,"Gemini",IF(S42&lt;I42,"ChatGPT","empate"))</f>
        <v>ChatGPT</v>
      </c>
      <c r="AG42" s="4" t="str">
        <f aca="false">IF(V42&gt;L42+0.0001,"Gemini",IF(V42&lt;L42-0.0001,"ChatGPT","empate"))</f>
        <v>empate</v>
      </c>
    </row>
    <row r="43" customFormat="false" ht="26.85" hidden="false" customHeight="false" outlineLevel="0" collapsed="false">
      <c r="A43" s="4" t="n">
        <v>42</v>
      </c>
      <c r="B43" s="4" t="s">
        <v>145</v>
      </c>
      <c r="C43" s="4" t="s">
        <v>44</v>
      </c>
      <c r="D43" s="4" t="s">
        <v>61</v>
      </c>
      <c r="E43" s="4" t="s">
        <v>143</v>
      </c>
      <c r="F43" s="4" t="s">
        <v>111</v>
      </c>
      <c r="G43" s="4" t="s">
        <v>71</v>
      </c>
      <c r="H43" s="4" t="s">
        <v>49</v>
      </c>
      <c r="I43" s="4" t="n">
        <v>32</v>
      </c>
      <c r="J43" s="4" t="n">
        <v>32</v>
      </c>
      <c r="K43" s="4" t="n">
        <v>0</v>
      </c>
      <c r="L43" s="5" t="n">
        <f aca="false">IF(O43="executa",IFERROR(J43/(J43+K43),0),0)</f>
        <v>1</v>
      </c>
      <c r="M43" s="4" t="n">
        <v>1</v>
      </c>
      <c r="N43" s="4" t="s">
        <v>50</v>
      </c>
      <c r="O43" s="4" t="s">
        <v>51</v>
      </c>
      <c r="P43" s="4" t="s">
        <v>52</v>
      </c>
      <c r="Q43" s="4" t="s">
        <v>104</v>
      </c>
      <c r="R43" s="4" t="s">
        <v>71</v>
      </c>
      <c r="S43" s="4" t="n">
        <v>19</v>
      </c>
      <c r="T43" s="4" t="n">
        <v>19</v>
      </c>
      <c r="U43" s="4" t="n">
        <v>0</v>
      </c>
      <c r="V43" s="5" t="n">
        <f aca="false">IF(Y43="executa",IFERROR(T43/(T43+U43),0),0)</f>
        <v>1</v>
      </c>
      <c r="W43" s="4" t="n">
        <v>0</v>
      </c>
      <c r="X43" s="4" t="s">
        <v>50</v>
      </c>
      <c r="Y43" s="4" t="s">
        <v>51</v>
      </c>
      <c r="Z43" s="4" t="n">
        <v>3</v>
      </c>
      <c r="AA43" s="4" t="n">
        <v>2</v>
      </c>
      <c r="AB43" s="4" t="s">
        <v>71</v>
      </c>
      <c r="AC43" s="4" t="s">
        <v>71</v>
      </c>
      <c r="AD43" s="4" t="n">
        <f aca="false">S43-I43</f>
        <v>-13</v>
      </c>
      <c r="AE43" s="5" t="n">
        <f aca="false">V43-L43</f>
        <v>0</v>
      </c>
      <c r="AF43" s="4" t="str">
        <f aca="false">IF(S43&gt;I43,"Gemini",IF(S43&lt;I43,"ChatGPT","empate"))</f>
        <v>ChatGPT</v>
      </c>
      <c r="AG43" s="4" t="str">
        <f aca="false">IF(V43&gt;L43+0.0001,"Gemini",IF(V43&lt;L43-0.0001,"ChatGPT","empate"))</f>
        <v>empate</v>
      </c>
    </row>
    <row r="44" customFormat="false" ht="26.85" hidden="false" customHeight="false" outlineLevel="0" collapsed="false">
      <c r="A44" s="4" t="n">
        <v>43</v>
      </c>
      <c r="B44" s="4" t="s">
        <v>146</v>
      </c>
      <c r="C44" s="4" t="s">
        <v>68</v>
      </c>
      <c r="D44" s="4" t="s">
        <v>45</v>
      </c>
      <c r="E44" s="4" t="s">
        <v>147</v>
      </c>
      <c r="F44" s="4" t="s">
        <v>111</v>
      </c>
      <c r="G44" s="4" t="s">
        <v>71</v>
      </c>
      <c r="H44" s="4" t="s">
        <v>49</v>
      </c>
      <c r="I44" s="4" t="n">
        <v>22</v>
      </c>
      <c r="J44" s="4" t="n">
        <v>21</v>
      </c>
      <c r="K44" s="4" t="n">
        <v>1</v>
      </c>
      <c r="L44" s="5" t="n">
        <f aca="false">IF(O44="executa",IFERROR(J44/(J44+K44),0),0)</f>
        <v>0.954545454545455</v>
      </c>
      <c r="M44" s="4" t="n">
        <v>3</v>
      </c>
      <c r="N44" s="4" t="s">
        <v>52</v>
      </c>
      <c r="O44" s="4" t="s">
        <v>51</v>
      </c>
      <c r="P44" s="4" t="s">
        <v>52</v>
      </c>
      <c r="Q44" s="4" t="s">
        <v>76</v>
      </c>
      <c r="R44" s="4" t="s">
        <v>71</v>
      </c>
      <c r="S44" s="4" t="n">
        <v>6</v>
      </c>
      <c r="T44" s="4" t="n">
        <v>6</v>
      </c>
      <c r="U44" s="4" t="n">
        <v>0</v>
      </c>
      <c r="V44" s="5" t="n">
        <f aca="false">IF(Y44="executa",IFERROR(T44/(T44+U44),0),0)</f>
        <v>1</v>
      </c>
      <c r="W44" s="4" t="n">
        <v>2</v>
      </c>
      <c r="X44" s="4" t="s">
        <v>50</v>
      </c>
      <c r="Y44" s="4" t="s">
        <v>51</v>
      </c>
      <c r="Z44" s="4" t="n">
        <v>1</v>
      </c>
      <c r="AA44" s="4" t="n">
        <v>0</v>
      </c>
      <c r="AB44" s="4" t="s">
        <v>87</v>
      </c>
      <c r="AC44" s="4" t="s">
        <v>71</v>
      </c>
      <c r="AD44" s="4" t="n">
        <f aca="false">S44-I44</f>
        <v>-16</v>
      </c>
      <c r="AE44" s="5" t="n">
        <f aca="false">V44-L44</f>
        <v>0.0454545454545454</v>
      </c>
      <c r="AF44" s="4" t="str">
        <f aca="false">IF(S44&gt;I44,"Gemini",IF(S44&lt;I44,"ChatGPT","empate"))</f>
        <v>ChatGPT</v>
      </c>
      <c r="AG44" s="4" t="str">
        <f aca="false">IF(V44&gt;L44+0.0001,"Gemini",IF(V44&lt;L44-0.0001,"ChatGPT","empate"))</f>
        <v>Gemini</v>
      </c>
    </row>
    <row r="45" customFormat="false" ht="26.85" hidden="false" customHeight="false" outlineLevel="0" collapsed="false">
      <c r="A45" s="4" t="n">
        <v>44</v>
      </c>
      <c r="B45" s="4" t="s">
        <v>148</v>
      </c>
      <c r="C45" s="4" t="s">
        <v>68</v>
      </c>
      <c r="D45" s="4" t="s">
        <v>56</v>
      </c>
      <c r="E45" s="4" t="s">
        <v>147</v>
      </c>
      <c r="F45" s="4" t="s">
        <v>111</v>
      </c>
      <c r="G45" s="4" t="s">
        <v>71</v>
      </c>
      <c r="H45" s="4" t="s">
        <v>49</v>
      </c>
      <c r="I45" s="4" t="n">
        <v>24</v>
      </c>
      <c r="J45" s="4" t="n">
        <v>22</v>
      </c>
      <c r="K45" s="4" t="n">
        <v>2</v>
      </c>
      <c r="L45" s="5" t="n">
        <f aca="false">IF(O45="executa",IFERROR(J45/(J45+K45),0),0)</f>
        <v>0.916666666666667</v>
      </c>
      <c r="M45" s="4" t="n">
        <v>3</v>
      </c>
      <c r="N45" s="4" t="s">
        <v>52</v>
      </c>
      <c r="O45" s="4" t="s">
        <v>51</v>
      </c>
      <c r="P45" s="4" t="s">
        <v>52</v>
      </c>
      <c r="Q45" s="4" t="s">
        <v>76</v>
      </c>
      <c r="R45" s="4" t="s">
        <v>71</v>
      </c>
      <c r="S45" s="4" t="n">
        <v>7</v>
      </c>
      <c r="T45" s="4" t="n">
        <v>7</v>
      </c>
      <c r="U45" s="4" t="n">
        <v>0</v>
      </c>
      <c r="V45" s="5" t="n">
        <f aca="false">IF(Y45="executa",IFERROR(T45/(T45+U45),0),0)</f>
        <v>1</v>
      </c>
      <c r="W45" s="4" t="n">
        <v>2</v>
      </c>
      <c r="X45" s="4" t="s">
        <v>50</v>
      </c>
      <c r="Y45" s="4" t="s">
        <v>51</v>
      </c>
      <c r="Z45" s="4" t="n">
        <v>2</v>
      </c>
      <c r="AA45" s="4" t="n">
        <v>1</v>
      </c>
      <c r="AB45" s="4" t="s">
        <v>87</v>
      </c>
      <c r="AC45" s="4" t="s">
        <v>71</v>
      </c>
      <c r="AD45" s="4" t="n">
        <f aca="false">S45-I45</f>
        <v>-17</v>
      </c>
      <c r="AE45" s="5" t="n">
        <f aca="false">V45-L45</f>
        <v>0.0833333333333334</v>
      </c>
      <c r="AF45" s="4" t="str">
        <f aca="false">IF(S45&gt;I45,"Gemini",IF(S45&lt;I45,"ChatGPT","empate"))</f>
        <v>ChatGPT</v>
      </c>
      <c r="AG45" s="4" t="str">
        <f aca="false">IF(V45&gt;L45+0.0001,"Gemini",IF(V45&lt;L45-0.0001,"ChatGPT","empate"))</f>
        <v>Gemini</v>
      </c>
    </row>
    <row r="46" customFormat="false" ht="26.85" hidden="false" customHeight="false" outlineLevel="0" collapsed="false">
      <c r="A46" s="4" t="n">
        <v>45</v>
      </c>
      <c r="B46" s="4" t="s">
        <v>149</v>
      </c>
      <c r="C46" s="4" t="s">
        <v>68</v>
      </c>
      <c r="D46" s="4" t="s">
        <v>61</v>
      </c>
      <c r="E46" s="4" t="s">
        <v>147</v>
      </c>
      <c r="F46" s="4" t="s">
        <v>111</v>
      </c>
      <c r="G46" s="4" t="s">
        <v>71</v>
      </c>
      <c r="H46" s="4" t="s">
        <v>49</v>
      </c>
      <c r="I46" s="4" t="n">
        <v>25</v>
      </c>
      <c r="J46" s="4" t="n">
        <v>0</v>
      </c>
      <c r="K46" s="4" t="n">
        <v>25</v>
      </c>
      <c r="L46" s="5" t="n">
        <f aca="false">IF(O46="executa",IFERROR(J46/(J46+K46),0),0)</f>
        <v>0</v>
      </c>
      <c r="M46" s="4" t="n">
        <v>3</v>
      </c>
      <c r="N46" s="4" t="s">
        <v>52</v>
      </c>
      <c r="O46" s="4" t="s">
        <v>75</v>
      </c>
      <c r="P46" s="4" t="s">
        <v>50</v>
      </c>
      <c r="Q46" s="4" t="s">
        <v>76</v>
      </c>
      <c r="R46" s="4" t="s">
        <v>71</v>
      </c>
      <c r="S46" s="4" t="n">
        <v>10</v>
      </c>
      <c r="T46" s="4" t="n">
        <v>0</v>
      </c>
      <c r="U46" s="4" t="n">
        <v>10</v>
      </c>
      <c r="V46" s="5" t="n">
        <f aca="false">IF(Y46="executa",IFERROR(T46/(T46+U46),0),0)</f>
        <v>0</v>
      </c>
      <c r="W46" s="4" t="n">
        <v>3</v>
      </c>
      <c r="X46" s="4" t="s">
        <v>52</v>
      </c>
      <c r="Y46" s="4" t="s">
        <v>51</v>
      </c>
      <c r="Z46" s="4" t="n">
        <v>1</v>
      </c>
      <c r="AA46" s="4" t="n">
        <v>0</v>
      </c>
      <c r="AB46" s="4" t="s">
        <v>76</v>
      </c>
      <c r="AC46" s="4" t="s">
        <v>71</v>
      </c>
      <c r="AD46" s="4" t="n">
        <f aca="false">S46-I46</f>
        <v>-15</v>
      </c>
      <c r="AE46" s="5" t="n">
        <f aca="false">V46-L46</f>
        <v>0</v>
      </c>
      <c r="AF46" s="4" t="str">
        <f aca="false">IF(S46&gt;I46,"Gemini",IF(S46&lt;I46,"ChatGPT","empate"))</f>
        <v>ChatGPT</v>
      </c>
      <c r="AG46" s="4" t="str">
        <f aca="false">IF(V46&gt;L46+0.0001,"Gemini",IF(V46&lt;L46-0.0001,"ChatGPT","empate"))</f>
        <v>empate</v>
      </c>
    </row>
    <row r="47" customFormat="false" ht="26.85" hidden="false" customHeight="false" outlineLevel="0" collapsed="false">
      <c r="A47" s="4" t="n">
        <v>46</v>
      </c>
      <c r="B47" s="4" t="s">
        <v>150</v>
      </c>
      <c r="C47" s="4" t="s">
        <v>68</v>
      </c>
      <c r="D47" s="4" t="s">
        <v>45</v>
      </c>
      <c r="E47" s="4" t="s">
        <v>79</v>
      </c>
      <c r="F47" s="4" t="s">
        <v>111</v>
      </c>
      <c r="G47" s="4" t="s">
        <v>71</v>
      </c>
      <c r="H47" s="4" t="s">
        <v>49</v>
      </c>
      <c r="I47" s="4" t="n">
        <v>12</v>
      </c>
      <c r="J47" s="4" t="n">
        <v>11</v>
      </c>
      <c r="K47" s="4" t="n">
        <v>1</v>
      </c>
      <c r="L47" s="5" t="n">
        <f aca="false">IF(O47="executa",IFERROR(J47/(J47+K47),0),0)</f>
        <v>0.916666666666667</v>
      </c>
      <c r="M47" s="4" t="n">
        <v>2</v>
      </c>
      <c r="N47" s="4" t="s">
        <v>50</v>
      </c>
      <c r="O47" s="4" t="s">
        <v>51</v>
      </c>
      <c r="P47" s="4" t="s">
        <v>50</v>
      </c>
      <c r="Q47" s="4" t="s">
        <v>151</v>
      </c>
      <c r="R47" s="4" t="s">
        <v>71</v>
      </c>
      <c r="S47" s="4" t="n">
        <v>8</v>
      </c>
      <c r="T47" s="4" t="n">
        <v>8</v>
      </c>
      <c r="U47" s="4" t="n">
        <v>0</v>
      </c>
      <c r="V47" s="5" t="n">
        <f aca="false">IF(Y47="executa",IFERROR(T47/(T47+U47),0),0)</f>
        <v>1</v>
      </c>
      <c r="W47" s="4" t="n">
        <v>3</v>
      </c>
      <c r="X47" s="4" t="s">
        <v>50</v>
      </c>
      <c r="Y47" s="4" t="s">
        <v>51</v>
      </c>
      <c r="Z47" s="4" t="n">
        <v>1</v>
      </c>
      <c r="AA47" s="4" t="n">
        <v>0</v>
      </c>
      <c r="AB47" s="4" t="s">
        <v>152</v>
      </c>
      <c r="AC47" s="4" t="s">
        <v>71</v>
      </c>
      <c r="AD47" s="4" t="n">
        <f aca="false">S47-I47</f>
        <v>-4</v>
      </c>
      <c r="AE47" s="5" t="n">
        <f aca="false">V47-L47</f>
        <v>0.0833333333333334</v>
      </c>
      <c r="AF47" s="4" t="str">
        <f aca="false">IF(S47&gt;I47,"Gemini",IF(S47&lt;I47,"ChatGPT","empate"))</f>
        <v>ChatGPT</v>
      </c>
      <c r="AG47" s="4" t="str">
        <f aca="false">IF(V47&gt;L47+0.0001,"Gemini",IF(V47&lt;L47-0.0001,"ChatGPT","empate"))</f>
        <v>Gemini</v>
      </c>
    </row>
    <row r="48" customFormat="false" ht="26.85" hidden="false" customHeight="false" outlineLevel="0" collapsed="false">
      <c r="A48" s="4" t="n">
        <v>47</v>
      </c>
      <c r="B48" s="4" t="s">
        <v>153</v>
      </c>
      <c r="C48" s="4" t="s">
        <v>68</v>
      </c>
      <c r="D48" s="4" t="s">
        <v>56</v>
      </c>
      <c r="E48" s="4" t="s">
        <v>79</v>
      </c>
      <c r="F48" s="4" t="s">
        <v>111</v>
      </c>
      <c r="G48" s="4" t="s">
        <v>71</v>
      </c>
      <c r="H48" s="4" t="s">
        <v>49</v>
      </c>
      <c r="I48" s="4" t="n">
        <v>11</v>
      </c>
      <c r="J48" s="4" t="n">
        <v>6</v>
      </c>
      <c r="K48" s="4" t="n">
        <v>5</v>
      </c>
      <c r="L48" s="5" t="n">
        <f aca="false">IF(O48="executa",IFERROR(J48/(J48+K48),0),0)</f>
        <v>0.545454545454545</v>
      </c>
      <c r="M48" s="4" t="n">
        <v>3</v>
      </c>
      <c r="N48" s="4" t="s">
        <v>50</v>
      </c>
      <c r="O48" s="4" t="s">
        <v>51</v>
      </c>
      <c r="P48" s="4" t="s">
        <v>52</v>
      </c>
      <c r="Q48" s="4" t="s">
        <v>76</v>
      </c>
      <c r="R48" s="4" t="s">
        <v>71</v>
      </c>
      <c r="S48" s="4" t="n">
        <v>9</v>
      </c>
      <c r="T48" s="4" t="n">
        <v>9</v>
      </c>
      <c r="U48" s="4" t="n">
        <v>0</v>
      </c>
      <c r="V48" s="5" t="n">
        <f aca="false">IF(Y48="executa",IFERROR(T48/(T48+U48),0),0)</f>
        <v>1</v>
      </c>
      <c r="W48" s="4" t="n">
        <v>1</v>
      </c>
      <c r="X48" s="4" t="s">
        <v>50</v>
      </c>
      <c r="Y48" s="4" t="s">
        <v>51</v>
      </c>
      <c r="Z48" s="4" t="n">
        <v>2</v>
      </c>
      <c r="AA48" s="4" t="n">
        <v>1</v>
      </c>
      <c r="AB48" s="4" t="s">
        <v>154</v>
      </c>
      <c r="AC48" s="4" t="s">
        <v>71</v>
      </c>
      <c r="AD48" s="4" t="n">
        <f aca="false">S48-I48</f>
        <v>-2</v>
      </c>
      <c r="AE48" s="5" t="n">
        <f aca="false">V48-L48</f>
        <v>0.454545454545455</v>
      </c>
      <c r="AF48" s="4" t="str">
        <f aca="false">IF(S48&gt;I48,"Gemini",IF(S48&lt;I48,"ChatGPT","empate"))</f>
        <v>ChatGPT</v>
      </c>
      <c r="AG48" s="4" t="str">
        <f aca="false">IF(V48&gt;L48+0.0001,"Gemini",IF(V48&lt;L48-0.0001,"ChatGPT","empate"))</f>
        <v>Gemini</v>
      </c>
    </row>
    <row r="49" customFormat="false" ht="26.85" hidden="false" customHeight="false" outlineLevel="0" collapsed="false">
      <c r="A49" s="4" t="n">
        <v>48</v>
      </c>
      <c r="B49" s="4" t="s">
        <v>155</v>
      </c>
      <c r="C49" s="4" t="s">
        <v>68</v>
      </c>
      <c r="D49" s="4" t="s">
        <v>61</v>
      </c>
      <c r="E49" s="4" t="s">
        <v>79</v>
      </c>
      <c r="F49" s="4" t="s">
        <v>111</v>
      </c>
      <c r="G49" s="4" t="s">
        <v>71</v>
      </c>
      <c r="H49" s="4" t="s">
        <v>49</v>
      </c>
      <c r="I49" s="4" t="n">
        <v>18</v>
      </c>
      <c r="J49" s="4" t="n">
        <v>15</v>
      </c>
      <c r="K49" s="4" t="n">
        <v>3</v>
      </c>
      <c r="L49" s="5" t="n">
        <f aca="false">IF(O49="executa",IFERROR(J49/(J49+K49),0),0)</f>
        <v>0.833333333333333</v>
      </c>
      <c r="M49" s="4" t="n">
        <v>3</v>
      </c>
      <c r="N49" s="4" t="s">
        <v>52</v>
      </c>
      <c r="O49" s="4" t="s">
        <v>51</v>
      </c>
      <c r="P49" s="4" t="s">
        <v>52</v>
      </c>
      <c r="Q49" s="4" t="s">
        <v>156</v>
      </c>
      <c r="R49" s="4" t="s">
        <v>71</v>
      </c>
      <c r="S49" s="4" t="n">
        <v>11</v>
      </c>
      <c r="T49" s="4" t="n">
        <v>10</v>
      </c>
      <c r="U49" s="4" t="n">
        <v>1</v>
      </c>
      <c r="V49" s="5" t="n">
        <f aca="false">IF(Y49="executa",IFERROR(T49/(T49+U49),0),0)</f>
        <v>0.909090909090909</v>
      </c>
      <c r="W49" s="4" t="n">
        <v>3</v>
      </c>
      <c r="X49" s="4" t="s">
        <v>52</v>
      </c>
      <c r="Y49" s="4" t="s">
        <v>51</v>
      </c>
      <c r="Z49" s="4" t="n">
        <v>2</v>
      </c>
      <c r="AA49" s="4" t="n">
        <v>1</v>
      </c>
      <c r="AB49" s="4" t="s">
        <v>156</v>
      </c>
      <c r="AC49" s="4" t="s">
        <v>71</v>
      </c>
      <c r="AD49" s="4" t="n">
        <f aca="false">S49-I49</f>
        <v>-7</v>
      </c>
      <c r="AE49" s="5" t="n">
        <f aca="false">V49-L49</f>
        <v>0.0757575757575757</v>
      </c>
      <c r="AF49" s="4" t="str">
        <f aca="false">IF(S49&gt;I49,"Gemini",IF(S49&lt;I49,"ChatGPT","empate"))</f>
        <v>ChatGPT</v>
      </c>
      <c r="AG49" s="4" t="str">
        <f aca="false">IF(V49&gt;L49+0.0001,"Gemini",IF(V49&lt;L49-0.0001,"ChatGPT","empate"))</f>
        <v>Gemini</v>
      </c>
    </row>
    <row r="50" customFormat="false" ht="26.85" hidden="false" customHeight="false" outlineLevel="0" collapsed="false">
      <c r="A50" s="4" t="n">
        <v>49</v>
      </c>
      <c r="B50" s="4" t="s">
        <v>157</v>
      </c>
      <c r="C50" s="4" t="s">
        <v>68</v>
      </c>
      <c r="D50" s="4" t="s">
        <v>45</v>
      </c>
      <c r="E50" s="4" t="s">
        <v>69</v>
      </c>
      <c r="F50" s="4" t="s">
        <v>111</v>
      </c>
      <c r="G50" s="4" t="s">
        <v>71</v>
      </c>
      <c r="H50" s="4" t="s">
        <v>49</v>
      </c>
      <c r="I50" s="4" t="n">
        <v>8</v>
      </c>
      <c r="J50" s="4" t="n">
        <v>8</v>
      </c>
      <c r="K50" s="4" t="n">
        <v>0</v>
      </c>
      <c r="L50" s="5" t="n">
        <f aca="false">IF(O50="executa",IFERROR(J50/(J50+K50),0),0)</f>
        <v>1</v>
      </c>
      <c r="M50" s="4" t="n">
        <v>1</v>
      </c>
      <c r="N50" s="4" t="s">
        <v>52</v>
      </c>
      <c r="O50" s="4" t="s">
        <v>51</v>
      </c>
      <c r="P50" s="4" t="s">
        <v>52</v>
      </c>
      <c r="Q50" s="4" t="s">
        <v>104</v>
      </c>
      <c r="R50" s="4" t="s">
        <v>71</v>
      </c>
      <c r="S50" s="4" t="n">
        <v>5</v>
      </c>
      <c r="T50" s="4" t="n">
        <v>5</v>
      </c>
      <c r="U50" s="4" t="n">
        <v>0</v>
      </c>
      <c r="V50" s="5" t="n">
        <f aca="false">IF(Y50="executa",IFERROR(T50/(T50+U50),0),0)</f>
        <v>1</v>
      </c>
      <c r="W50" s="4" t="n">
        <v>0</v>
      </c>
      <c r="X50" s="4" t="s">
        <v>50</v>
      </c>
      <c r="Y50" s="4" t="s">
        <v>51</v>
      </c>
      <c r="Z50" s="4" t="n">
        <v>2</v>
      </c>
      <c r="AA50" s="4" t="n">
        <v>0</v>
      </c>
      <c r="AB50" s="4" t="s">
        <v>71</v>
      </c>
      <c r="AC50" s="4" t="s">
        <v>71</v>
      </c>
      <c r="AD50" s="4" t="n">
        <f aca="false">S50-I50</f>
        <v>-3</v>
      </c>
      <c r="AE50" s="5" t="n">
        <f aca="false">V50-L50</f>
        <v>0</v>
      </c>
      <c r="AF50" s="4" t="str">
        <f aca="false">IF(S50&gt;I50,"Gemini",IF(S50&lt;I50,"ChatGPT","empate"))</f>
        <v>ChatGPT</v>
      </c>
      <c r="AG50" s="4" t="str">
        <f aca="false">IF(V50&gt;L50+0.0001,"Gemini",IF(V50&lt;L50-0.0001,"ChatGPT","empate"))</f>
        <v>empate</v>
      </c>
    </row>
    <row r="51" customFormat="false" ht="26.85" hidden="false" customHeight="false" outlineLevel="0" collapsed="false">
      <c r="A51" s="4" t="n">
        <v>50</v>
      </c>
      <c r="B51" s="4" t="s">
        <v>158</v>
      </c>
      <c r="C51" s="4" t="s">
        <v>68</v>
      </c>
      <c r="D51" s="4" t="s">
        <v>56</v>
      </c>
      <c r="E51" s="4" t="s">
        <v>69</v>
      </c>
      <c r="F51" s="4" t="s">
        <v>111</v>
      </c>
      <c r="G51" s="4" t="s">
        <v>71</v>
      </c>
      <c r="H51" s="4" t="s">
        <v>49</v>
      </c>
      <c r="I51" s="4" t="n">
        <v>13</v>
      </c>
      <c r="J51" s="4" t="n">
        <v>11</v>
      </c>
      <c r="K51" s="4" t="n">
        <v>2</v>
      </c>
      <c r="L51" s="5" t="n">
        <f aca="false">IF(O51="executa",IFERROR(J51/(J51+K51),0),0)</f>
        <v>0.846153846153846</v>
      </c>
      <c r="M51" s="4" t="n">
        <v>3</v>
      </c>
      <c r="N51" s="4" t="s">
        <v>52</v>
      </c>
      <c r="O51" s="4" t="s">
        <v>51</v>
      </c>
      <c r="P51" s="4" t="s">
        <v>52</v>
      </c>
      <c r="Q51" s="4" t="s">
        <v>159</v>
      </c>
      <c r="R51" s="4" t="s">
        <v>160</v>
      </c>
      <c r="S51" s="4" t="n">
        <v>5</v>
      </c>
      <c r="T51" s="4" t="n">
        <v>5</v>
      </c>
      <c r="U51" s="4" t="n">
        <v>0</v>
      </c>
      <c r="V51" s="5" t="n">
        <f aca="false">IF(Y51="executa",IFERROR(T51/(T51+U51),0),0)</f>
        <v>1</v>
      </c>
      <c r="W51" s="4" t="n">
        <v>0</v>
      </c>
      <c r="X51" s="4" t="s">
        <v>50</v>
      </c>
      <c r="Y51" s="4" t="s">
        <v>51</v>
      </c>
      <c r="Z51" s="4" t="n">
        <v>2</v>
      </c>
      <c r="AA51" s="4" t="n">
        <v>1</v>
      </c>
      <c r="AB51" s="4" t="s">
        <v>71</v>
      </c>
      <c r="AC51" s="4" t="s">
        <v>71</v>
      </c>
      <c r="AD51" s="4" t="n">
        <f aca="false">S51-I51</f>
        <v>-8</v>
      </c>
      <c r="AE51" s="5" t="n">
        <f aca="false">V51-L51</f>
        <v>0.153846153846154</v>
      </c>
      <c r="AF51" s="4" t="str">
        <f aca="false">IF(S51&gt;I51,"Gemini",IF(S51&lt;I51,"ChatGPT","empate"))</f>
        <v>ChatGPT</v>
      </c>
      <c r="AG51" s="4" t="str">
        <f aca="false">IF(V51&gt;L51+0.0001,"Gemini",IF(V51&lt;L51-0.0001,"ChatGPT","empate"))</f>
        <v>Gemini</v>
      </c>
    </row>
    <row r="52" customFormat="false" ht="26.85" hidden="false" customHeight="false" outlineLevel="0" collapsed="false">
      <c r="A52" s="4" t="n">
        <v>51</v>
      </c>
      <c r="B52" s="4" t="s">
        <v>161</v>
      </c>
      <c r="C52" s="4" t="s">
        <v>68</v>
      </c>
      <c r="D52" s="4" t="s">
        <v>61</v>
      </c>
      <c r="E52" s="4" t="s">
        <v>69</v>
      </c>
      <c r="F52" s="4" t="s">
        <v>111</v>
      </c>
      <c r="G52" s="4" t="s">
        <v>71</v>
      </c>
      <c r="H52" s="4" t="s">
        <v>49</v>
      </c>
      <c r="I52" s="4" t="n">
        <v>19</v>
      </c>
      <c r="J52" s="4" t="n">
        <v>19</v>
      </c>
      <c r="K52" s="4" t="n">
        <v>0</v>
      </c>
      <c r="L52" s="5" t="n">
        <f aca="false">IF(O52="executa",IFERROR(J52/(J52+K52),0),0)</f>
        <v>1</v>
      </c>
      <c r="M52" s="4" t="n">
        <v>3</v>
      </c>
      <c r="N52" s="4" t="s">
        <v>50</v>
      </c>
      <c r="O52" s="4" t="s">
        <v>51</v>
      </c>
      <c r="P52" s="4" t="s">
        <v>52</v>
      </c>
      <c r="Q52" s="4" t="s">
        <v>76</v>
      </c>
      <c r="R52" s="4" t="s">
        <v>71</v>
      </c>
      <c r="S52" s="4" t="n">
        <v>10</v>
      </c>
      <c r="T52" s="4" t="n">
        <v>5</v>
      </c>
      <c r="U52" s="4" t="n">
        <v>5</v>
      </c>
      <c r="V52" s="5" t="n">
        <f aca="false">IF(Y52="executa",IFERROR(T52/(T52+U52),0),0)</f>
        <v>0.5</v>
      </c>
      <c r="W52" s="4" t="n">
        <v>3</v>
      </c>
      <c r="X52" s="4" t="s">
        <v>52</v>
      </c>
      <c r="Y52" s="4" t="s">
        <v>51</v>
      </c>
      <c r="Z52" s="4" t="n">
        <v>4</v>
      </c>
      <c r="AA52" s="4" t="n">
        <v>2</v>
      </c>
      <c r="AB52" s="4" t="s">
        <v>76</v>
      </c>
      <c r="AC52" s="4" t="s">
        <v>71</v>
      </c>
      <c r="AD52" s="4" t="n">
        <f aca="false">S52-I52</f>
        <v>-9</v>
      </c>
      <c r="AE52" s="5" t="n">
        <f aca="false">V52-L52</f>
        <v>-0.5</v>
      </c>
      <c r="AF52" s="4" t="str">
        <f aca="false">IF(S52&gt;I52,"Gemini",IF(S52&lt;I52,"ChatGPT","empate"))</f>
        <v>ChatGPT</v>
      </c>
      <c r="AG52" s="4" t="str">
        <f aca="false">IF(V52&gt;L52+0.0001,"Gemini",IF(V52&lt;L52-0.0001,"ChatGPT","empate"))</f>
        <v>ChatGPT</v>
      </c>
    </row>
    <row r="53" customFormat="false" ht="26.85" hidden="false" customHeight="false" outlineLevel="0" collapsed="false">
      <c r="A53" s="4" t="n">
        <v>52</v>
      </c>
      <c r="B53" s="4" t="s">
        <v>162</v>
      </c>
      <c r="C53" s="4" t="s">
        <v>91</v>
      </c>
      <c r="D53" s="4" t="s">
        <v>45</v>
      </c>
      <c r="E53" s="4" t="s">
        <v>163</v>
      </c>
      <c r="F53" s="4" t="s">
        <v>111</v>
      </c>
      <c r="G53" s="4" t="s">
        <v>71</v>
      </c>
      <c r="H53" s="4" t="s">
        <v>49</v>
      </c>
      <c r="I53" s="4" t="n">
        <v>8</v>
      </c>
      <c r="J53" s="4" t="n">
        <v>7</v>
      </c>
      <c r="K53" s="4" t="n">
        <v>1</v>
      </c>
      <c r="L53" s="5" t="n">
        <f aca="false">IF(O53="executa",IFERROR(J53/(J53+K53),0),0)</f>
        <v>0.875</v>
      </c>
      <c r="M53" s="4" t="n">
        <v>3</v>
      </c>
      <c r="N53" s="4" t="s">
        <v>52</v>
      </c>
      <c r="O53" s="4" t="s">
        <v>51</v>
      </c>
      <c r="P53" s="4" t="s">
        <v>52</v>
      </c>
      <c r="Q53" s="4" t="s">
        <v>96</v>
      </c>
      <c r="R53" s="4" t="s">
        <v>71</v>
      </c>
      <c r="S53" s="4" t="n">
        <v>7</v>
      </c>
      <c r="T53" s="4" t="n">
        <v>6</v>
      </c>
      <c r="U53" s="4" t="n">
        <v>1</v>
      </c>
      <c r="V53" s="5" t="n">
        <f aca="false">IF(Y53="executa",IFERROR(T53/(T53+U53),0),0)</f>
        <v>0.857142857142857</v>
      </c>
      <c r="W53" s="4" t="n">
        <v>3</v>
      </c>
      <c r="X53" s="4" t="s">
        <v>52</v>
      </c>
      <c r="Y53" s="4" t="s">
        <v>51</v>
      </c>
      <c r="Z53" s="4" t="n">
        <v>1</v>
      </c>
      <c r="AA53" s="4" t="n">
        <v>0</v>
      </c>
      <c r="AB53" s="4" t="s">
        <v>76</v>
      </c>
      <c r="AC53" s="4" t="s">
        <v>71</v>
      </c>
      <c r="AD53" s="4" t="n">
        <f aca="false">S53-I53</f>
        <v>-1</v>
      </c>
      <c r="AE53" s="5" t="n">
        <f aca="false">V53-L53</f>
        <v>-0.0178571428571429</v>
      </c>
      <c r="AF53" s="4" t="str">
        <f aca="false">IF(S53&gt;I53,"Gemini",IF(S53&lt;I53,"ChatGPT","empate"))</f>
        <v>ChatGPT</v>
      </c>
      <c r="AG53" s="4" t="str">
        <f aca="false">IF(V53&gt;L53+0.0001,"Gemini",IF(V53&lt;L53-0.0001,"ChatGPT","empate"))</f>
        <v>ChatGPT</v>
      </c>
    </row>
    <row r="54" customFormat="false" ht="26.85" hidden="false" customHeight="false" outlineLevel="0" collapsed="false">
      <c r="A54" s="4" t="n">
        <v>53</v>
      </c>
      <c r="B54" s="4" t="s">
        <v>164</v>
      </c>
      <c r="C54" s="4" t="s">
        <v>91</v>
      </c>
      <c r="D54" s="4" t="s">
        <v>56</v>
      </c>
      <c r="E54" s="4" t="s">
        <v>163</v>
      </c>
      <c r="F54" s="4" t="s">
        <v>111</v>
      </c>
      <c r="G54" s="4" t="s">
        <v>71</v>
      </c>
      <c r="H54" s="4" t="s">
        <v>49</v>
      </c>
      <c r="I54" s="4" t="n">
        <v>6</v>
      </c>
      <c r="J54" s="4" t="n">
        <v>5</v>
      </c>
      <c r="K54" s="4" t="n">
        <v>1</v>
      </c>
      <c r="L54" s="5" t="n">
        <f aca="false">IF(O54="executa",IFERROR(J54/(J54+K54),0),0)</f>
        <v>0.833333333333333</v>
      </c>
      <c r="M54" s="4" t="n">
        <v>3</v>
      </c>
      <c r="N54" s="4" t="s">
        <v>52</v>
      </c>
      <c r="O54" s="4" t="s">
        <v>51</v>
      </c>
      <c r="P54" s="4" t="s">
        <v>50</v>
      </c>
      <c r="Q54" s="4" t="s">
        <v>76</v>
      </c>
      <c r="R54" s="4" t="s">
        <v>71</v>
      </c>
      <c r="S54" s="4" t="n">
        <v>4</v>
      </c>
      <c r="T54" s="4" t="n">
        <v>0</v>
      </c>
      <c r="U54" s="4" t="n">
        <v>4</v>
      </c>
      <c r="V54" s="5" t="n">
        <f aca="false">IF(Y54="executa",IFERROR(T54/(T54+U54),0),0)</f>
        <v>0</v>
      </c>
      <c r="W54" s="4" t="n">
        <v>3</v>
      </c>
      <c r="X54" s="4" t="s">
        <v>52</v>
      </c>
      <c r="Y54" s="4" t="s">
        <v>51</v>
      </c>
      <c r="Z54" s="4" t="n">
        <v>2</v>
      </c>
      <c r="AA54" s="4" t="n">
        <v>1</v>
      </c>
      <c r="AB54" s="4" t="s">
        <v>165</v>
      </c>
      <c r="AC54" s="4" t="s">
        <v>71</v>
      </c>
      <c r="AD54" s="4" t="n">
        <f aca="false">S54-I54</f>
        <v>-2</v>
      </c>
      <c r="AE54" s="5" t="n">
        <f aca="false">V54-L54</f>
        <v>-0.833333333333333</v>
      </c>
      <c r="AF54" s="4" t="str">
        <f aca="false">IF(S54&gt;I54,"Gemini",IF(S54&lt;I54,"ChatGPT","empate"))</f>
        <v>ChatGPT</v>
      </c>
      <c r="AG54" s="4" t="str">
        <f aca="false">IF(V54&gt;L54+0.0001,"Gemini",IF(V54&lt;L54-0.0001,"ChatGPT","empate"))</f>
        <v>ChatGPT</v>
      </c>
    </row>
    <row r="55" customFormat="false" ht="26.85" hidden="false" customHeight="false" outlineLevel="0" collapsed="false">
      <c r="A55" s="4" t="n">
        <v>54</v>
      </c>
      <c r="B55" s="4" t="s">
        <v>166</v>
      </c>
      <c r="C55" s="4" t="s">
        <v>91</v>
      </c>
      <c r="D55" s="4" t="s">
        <v>61</v>
      </c>
      <c r="E55" s="4" t="s">
        <v>163</v>
      </c>
      <c r="F55" s="4" t="s">
        <v>111</v>
      </c>
      <c r="G55" s="4" t="s">
        <v>71</v>
      </c>
      <c r="H55" s="4" t="s">
        <v>49</v>
      </c>
      <c r="I55" s="4" t="n">
        <v>10</v>
      </c>
      <c r="J55" s="4" t="n">
        <v>10</v>
      </c>
      <c r="K55" s="4" t="n">
        <v>0</v>
      </c>
      <c r="L55" s="5" t="n">
        <f aca="false">IF(O55="executa",IFERROR(J55/(J55+K55),0),0)</f>
        <v>1</v>
      </c>
      <c r="M55" s="4" t="n">
        <v>3</v>
      </c>
      <c r="N55" s="4" t="s">
        <v>52</v>
      </c>
      <c r="O55" s="4" t="s">
        <v>51</v>
      </c>
      <c r="P55" s="4" t="s">
        <v>52</v>
      </c>
      <c r="Q55" s="4" t="s">
        <v>76</v>
      </c>
      <c r="R55" s="4" t="s">
        <v>71</v>
      </c>
      <c r="S55" s="4" t="n">
        <v>8</v>
      </c>
      <c r="T55" s="4" t="n">
        <v>0</v>
      </c>
      <c r="U55" s="4" t="n">
        <v>8</v>
      </c>
      <c r="V55" s="5" t="n">
        <f aca="false">IF(Y55="executa",IFERROR(T55/(T55+U55),0),0)</f>
        <v>0</v>
      </c>
      <c r="W55" s="4" t="n">
        <v>3</v>
      </c>
      <c r="X55" s="4" t="s">
        <v>50</v>
      </c>
      <c r="Y55" s="4" t="s">
        <v>167</v>
      </c>
      <c r="Z55" s="4" t="n">
        <v>1</v>
      </c>
      <c r="AA55" s="4" t="n">
        <v>0</v>
      </c>
      <c r="AB55" s="4" t="s">
        <v>76</v>
      </c>
      <c r="AC55" s="4" t="s">
        <v>71</v>
      </c>
      <c r="AD55" s="4" t="n">
        <f aca="false">S55-I55</f>
        <v>-2</v>
      </c>
      <c r="AE55" s="5" t="n">
        <f aca="false">V55-L55</f>
        <v>-1</v>
      </c>
      <c r="AF55" s="4" t="str">
        <f aca="false">IF(S55&gt;I55,"Gemini",IF(S55&lt;I55,"ChatGPT","empate"))</f>
        <v>ChatGPT</v>
      </c>
      <c r="AG55" s="4" t="str">
        <f aca="false">IF(V55&gt;L55+0.0001,"Gemini",IF(V55&lt;L55-0.0001,"ChatGPT","empate"))</f>
        <v>ChatGPT</v>
      </c>
    </row>
    <row r="56" customFormat="false" ht="26.85" hidden="false" customHeight="false" outlineLevel="0" collapsed="false">
      <c r="A56" s="4" t="n">
        <v>55</v>
      </c>
      <c r="B56" s="4" t="s">
        <v>168</v>
      </c>
      <c r="C56" s="4" t="s">
        <v>91</v>
      </c>
      <c r="D56" s="4" t="s">
        <v>45</v>
      </c>
      <c r="E56" s="4" t="s">
        <v>169</v>
      </c>
      <c r="F56" s="4" t="s">
        <v>111</v>
      </c>
      <c r="G56" s="4" t="s">
        <v>71</v>
      </c>
      <c r="H56" s="4" t="s">
        <v>49</v>
      </c>
      <c r="I56" s="4" t="n">
        <v>3</v>
      </c>
      <c r="J56" s="4" t="n">
        <v>1</v>
      </c>
      <c r="K56" s="4" t="n">
        <v>2</v>
      </c>
      <c r="L56" s="5" t="n">
        <f aca="false">IF(O56="executa",IFERROR(J56/(J56+K56),0),0)</f>
        <v>0.333333333333333</v>
      </c>
      <c r="M56" s="4" t="n">
        <v>3</v>
      </c>
      <c r="N56" s="4" t="s">
        <v>52</v>
      </c>
      <c r="O56" s="4" t="s">
        <v>51</v>
      </c>
      <c r="P56" s="4" t="s">
        <v>52</v>
      </c>
      <c r="Q56" s="4" t="s">
        <v>76</v>
      </c>
      <c r="R56" s="4" t="s">
        <v>71</v>
      </c>
      <c r="S56" s="4" t="n">
        <v>4</v>
      </c>
      <c r="T56" s="4" t="n">
        <v>0</v>
      </c>
      <c r="U56" s="4" t="n">
        <v>4</v>
      </c>
      <c r="V56" s="5" t="n">
        <f aca="false">IF(Y56="executa",IFERROR(T56/(T56+U56),0),0)</f>
        <v>0</v>
      </c>
      <c r="W56" s="4" t="n">
        <v>3</v>
      </c>
      <c r="X56" s="4" t="s">
        <v>52</v>
      </c>
      <c r="Y56" s="4" t="s">
        <v>75</v>
      </c>
      <c r="Z56" s="4" t="n">
        <v>1</v>
      </c>
      <c r="AA56" s="4" t="n">
        <v>0</v>
      </c>
      <c r="AB56" s="4" t="s">
        <v>76</v>
      </c>
      <c r="AC56" s="4" t="s">
        <v>71</v>
      </c>
      <c r="AD56" s="4" t="n">
        <f aca="false">S56-I56</f>
        <v>1</v>
      </c>
      <c r="AE56" s="5" t="n">
        <f aca="false">V56-L56</f>
        <v>-0.333333333333333</v>
      </c>
      <c r="AF56" s="4" t="str">
        <f aca="false">IF(S56&gt;I56,"Gemini",IF(S56&lt;I56,"ChatGPT","empate"))</f>
        <v>Gemini</v>
      </c>
      <c r="AG56" s="4" t="str">
        <f aca="false">IF(V56&gt;L56+0.0001,"Gemini",IF(V56&lt;L56-0.0001,"ChatGPT","empate"))</f>
        <v>ChatGPT</v>
      </c>
    </row>
    <row r="57" customFormat="false" ht="26.85" hidden="false" customHeight="false" outlineLevel="0" collapsed="false">
      <c r="A57" s="4" t="n">
        <v>56</v>
      </c>
      <c r="B57" s="4" t="s">
        <v>170</v>
      </c>
      <c r="C57" s="4" t="s">
        <v>91</v>
      </c>
      <c r="D57" s="4" t="s">
        <v>56</v>
      </c>
      <c r="E57" s="4" t="s">
        <v>169</v>
      </c>
      <c r="F57" s="4" t="s">
        <v>111</v>
      </c>
      <c r="G57" s="4" t="s">
        <v>71</v>
      </c>
      <c r="H57" s="4" t="s">
        <v>49</v>
      </c>
      <c r="I57" s="4" t="n">
        <v>2</v>
      </c>
      <c r="J57" s="4" t="n">
        <v>0</v>
      </c>
      <c r="K57" s="4" t="n">
        <v>2</v>
      </c>
      <c r="L57" s="5" t="n">
        <f aca="false">IF(O57="executa",IFERROR(J57/(J57+K57),0),0)</f>
        <v>0</v>
      </c>
      <c r="M57" s="4" t="n">
        <v>3</v>
      </c>
      <c r="N57" s="4" t="s">
        <v>52</v>
      </c>
      <c r="O57" s="4" t="s">
        <v>51</v>
      </c>
      <c r="P57" s="4" t="s">
        <v>52</v>
      </c>
      <c r="Q57" s="4" t="s">
        <v>76</v>
      </c>
      <c r="R57" s="4" t="s">
        <v>71</v>
      </c>
      <c r="S57" s="4" t="n">
        <v>2</v>
      </c>
      <c r="T57" s="4" t="n">
        <v>1</v>
      </c>
      <c r="U57" s="4" t="n">
        <v>1</v>
      </c>
      <c r="V57" s="5" t="n">
        <f aca="false">IF(Y57="executa",IFERROR(T57/(T57+U57),0),0)</f>
        <v>0.5</v>
      </c>
      <c r="W57" s="4" t="n">
        <v>3</v>
      </c>
      <c r="X57" s="4" t="s">
        <v>52</v>
      </c>
      <c r="Y57" s="4" t="s">
        <v>51</v>
      </c>
      <c r="Z57" s="4" t="n">
        <v>1</v>
      </c>
      <c r="AA57" s="4" t="n">
        <v>0</v>
      </c>
      <c r="AB57" s="4" t="s">
        <v>76</v>
      </c>
      <c r="AC57" s="4" t="s">
        <v>71</v>
      </c>
      <c r="AD57" s="4" t="n">
        <f aca="false">S57-I57</f>
        <v>0</v>
      </c>
      <c r="AE57" s="5" t="n">
        <f aca="false">V57-L57</f>
        <v>0.5</v>
      </c>
      <c r="AF57" s="4" t="str">
        <f aca="false">IF(S57&gt;I57,"Gemini",IF(S57&lt;I57,"ChatGPT","empate"))</f>
        <v>empate</v>
      </c>
      <c r="AG57" s="4" t="str">
        <f aca="false">IF(V57&gt;L57+0.0001,"Gemini",IF(V57&lt;L57-0.0001,"ChatGPT","empate"))</f>
        <v>Gemini</v>
      </c>
    </row>
    <row r="58" customFormat="false" ht="26.85" hidden="false" customHeight="false" outlineLevel="0" collapsed="false">
      <c r="A58" s="4" t="n">
        <v>57</v>
      </c>
      <c r="B58" s="4" t="s">
        <v>171</v>
      </c>
      <c r="C58" s="4" t="s">
        <v>91</v>
      </c>
      <c r="D58" s="4" t="s">
        <v>61</v>
      </c>
      <c r="E58" s="4" t="s">
        <v>169</v>
      </c>
      <c r="F58" s="4" t="s">
        <v>111</v>
      </c>
      <c r="G58" s="4" t="s">
        <v>71</v>
      </c>
      <c r="H58" s="4" t="s">
        <v>49</v>
      </c>
      <c r="I58" s="4" t="n">
        <v>10</v>
      </c>
      <c r="J58" s="4" t="n">
        <v>9</v>
      </c>
      <c r="K58" s="4" t="n">
        <v>1</v>
      </c>
      <c r="L58" s="5" t="n">
        <f aca="false">IF(O58="executa",IFERROR(J58/(J58+K58),0),0)</f>
        <v>0.9</v>
      </c>
      <c r="M58" s="4" t="n">
        <v>3</v>
      </c>
      <c r="N58" s="4" t="s">
        <v>52</v>
      </c>
      <c r="O58" s="4" t="s">
        <v>51</v>
      </c>
      <c r="P58" s="4" t="s">
        <v>52</v>
      </c>
      <c r="Q58" s="4" t="s">
        <v>76</v>
      </c>
      <c r="R58" s="4" t="s">
        <v>71</v>
      </c>
      <c r="S58" s="4" t="n">
        <v>5</v>
      </c>
      <c r="T58" s="4" t="n">
        <v>5</v>
      </c>
      <c r="U58" s="4" t="n">
        <v>0</v>
      </c>
      <c r="V58" s="5" t="n">
        <f aca="false">IF(Y58="executa",IFERROR(T58/(T58+U58),0),0)</f>
        <v>1</v>
      </c>
      <c r="W58" s="4" t="n">
        <v>3</v>
      </c>
      <c r="X58" s="4" t="s">
        <v>50</v>
      </c>
      <c r="Y58" s="4" t="s">
        <v>51</v>
      </c>
      <c r="Z58" s="4" t="n">
        <v>1</v>
      </c>
      <c r="AA58" s="4" t="n">
        <v>0</v>
      </c>
      <c r="AB58" s="4" t="s">
        <v>172</v>
      </c>
      <c r="AC58" s="4" t="s">
        <v>71</v>
      </c>
      <c r="AD58" s="4" t="n">
        <f aca="false">S58-I58</f>
        <v>-5</v>
      </c>
      <c r="AE58" s="5" t="n">
        <f aca="false">V58-L58</f>
        <v>0.1</v>
      </c>
      <c r="AF58" s="4" t="str">
        <f aca="false">IF(S58&gt;I58,"Gemini",IF(S58&lt;I58,"ChatGPT","empate"))</f>
        <v>ChatGPT</v>
      </c>
      <c r="AG58" s="4" t="str">
        <f aca="false">IF(V58&gt;L58+0.0001,"Gemini",IF(V58&lt;L58-0.0001,"ChatGPT","empate"))</f>
        <v>Gemini</v>
      </c>
    </row>
    <row r="59" customFormat="false" ht="26.85" hidden="false" customHeight="false" outlineLevel="0" collapsed="false">
      <c r="A59" s="4" t="n">
        <v>58</v>
      </c>
      <c r="B59" s="4" t="s">
        <v>173</v>
      </c>
      <c r="C59" s="4" t="s">
        <v>91</v>
      </c>
      <c r="D59" s="4" t="s">
        <v>45</v>
      </c>
      <c r="E59" s="4" t="s">
        <v>174</v>
      </c>
      <c r="F59" s="4" t="s">
        <v>111</v>
      </c>
      <c r="G59" s="4" t="s">
        <v>71</v>
      </c>
      <c r="H59" s="4" t="s">
        <v>49</v>
      </c>
      <c r="I59" s="4" t="n">
        <v>3</v>
      </c>
      <c r="J59" s="4" t="n">
        <v>3</v>
      </c>
      <c r="K59" s="4" t="n">
        <v>0</v>
      </c>
      <c r="L59" s="5" t="n">
        <f aca="false">IF(O59="executa",IFERROR(J59/(J59+K59),0),0)</f>
        <v>1</v>
      </c>
      <c r="M59" s="4" t="n">
        <v>0</v>
      </c>
      <c r="N59" s="4" t="s">
        <v>50</v>
      </c>
      <c r="O59" s="4" t="s">
        <v>51</v>
      </c>
      <c r="P59" s="4" t="s">
        <v>52</v>
      </c>
      <c r="Q59" s="4" t="s">
        <v>71</v>
      </c>
      <c r="R59" s="4" t="s">
        <v>71</v>
      </c>
      <c r="S59" s="4" t="n">
        <v>3</v>
      </c>
      <c r="T59" s="4" t="n">
        <v>3</v>
      </c>
      <c r="U59" s="4" t="n">
        <v>0</v>
      </c>
      <c r="V59" s="5" t="n">
        <f aca="false">IF(Y59="executa",IFERROR(T59/(T59+U59),0),0)</f>
        <v>1</v>
      </c>
      <c r="W59" s="4" t="n">
        <v>0</v>
      </c>
      <c r="X59" s="4" t="s">
        <v>50</v>
      </c>
      <c r="Y59" s="4" t="s">
        <v>51</v>
      </c>
      <c r="Z59" s="4" t="n">
        <v>1</v>
      </c>
      <c r="AA59" s="4" t="n">
        <v>0</v>
      </c>
      <c r="AB59" s="4" t="s">
        <v>71</v>
      </c>
      <c r="AC59" s="4" t="s">
        <v>71</v>
      </c>
      <c r="AD59" s="4" t="n">
        <f aca="false">S59-I59</f>
        <v>0</v>
      </c>
      <c r="AE59" s="5" t="n">
        <f aca="false">V59-L59</f>
        <v>0</v>
      </c>
      <c r="AF59" s="4" t="str">
        <f aca="false">IF(S59&gt;I59,"Gemini",IF(S59&lt;I59,"ChatGPT","empate"))</f>
        <v>empate</v>
      </c>
      <c r="AG59" s="4" t="str">
        <f aca="false">IF(V59&gt;L59+0.0001,"Gemini",IF(V59&lt;L59-0.0001,"ChatGPT","empate"))</f>
        <v>empate</v>
      </c>
    </row>
    <row r="60" customFormat="false" ht="26.85" hidden="false" customHeight="false" outlineLevel="0" collapsed="false">
      <c r="A60" s="4" t="n">
        <v>59</v>
      </c>
      <c r="B60" s="4" t="s">
        <v>175</v>
      </c>
      <c r="C60" s="4" t="s">
        <v>91</v>
      </c>
      <c r="D60" s="4" t="s">
        <v>56</v>
      </c>
      <c r="E60" s="4" t="s">
        <v>174</v>
      </c>
      <c r="F60" s="4" t="s">
        <v>111</v>
      </c>
      <c r="G60" s="4" t="s">
        <v>71</v>
      </c>
      <c r="H60" s="4" t="s">
        <v>49</v>
      </c>
      <c r="I60" s="4" t="n">
        <v>3</v>
      </c>
      <c r="J60" s="4" t="n">
        <v>3</v>
      </c>
      <c r="K60" s="4" t="n">
        <v>0</v>
      </c>
      <c r="L60" s="5" t="n">
        <f aca="false">IF(O60="executa",IFERROR(J60/(J60+K60),0),0)</f>
        <v>1</v>
      </c>
      <c r="M60" s="4" t="n">
        <v>1</v>
      </c>
      <c r="N60" s="4" t="s">
        <v>52</v>
      </c>
      <c r="O60" s="4" t="s">
        <v>51</v>
      </c>
      <c r="P60" s="4" t="s">
        <v>52</v>
      </c>
      <c r="Q60" s="4" t="s">
        <v>104</v>
      </c>
      <c r="R60" s="4" t="s">
        <v>71</v>
      </c>
      <c r="S60" s="4" t="n">
        <v>2</v>
      </c>
      <c r="T60" s="4" t="n">
        <v>2</v>
      </c>
      <c r="U60" s="4" t="n">
        <v>0</v>
      </c>
      <c r="V60" s="5" t="n">
        <f aca="false">IF(Y60="executa",IFERROR(T60/(T60+U60),0),0)</f>
        <v>1</v>
      </c>
      <c r="W60" s="4" t="n">
        <v>0</v>
      </c>
      <c r="X60" s="4" t="s">
        <v>50</v>
      </c>
      <c r="Y60" s="4" t="s">
        <v>51</v>
      </c>
      <c r="Z60" s="4" t="n">
        <v>1</v>
      </c>
      <c r="AA60" s="4" t="n">
        <v>0</v>
      </c>
      <c r="AB60" s="4" t="s">
        <v>71</v>
      </c>
      <c r="AC60" s="4" t="s">
        <v>71</v>
      </c>
      <c r="AD60" s="4" t="n">
        <f aca="false">S60-I60</f>
        <v>-1</v>
      </c>
      <c r="AE60" s="5" t="n">
        <f aca="false">V60-L60</f>
        <v>0</v>
      </c>
      <c r="AF60" s="4" t="str">
        <f aca="false">IF(S60&gt;I60,"Gemini",IF(S60&lt;I60,"ChatGPT","empate"))</f>
        <v>ChatGPT</v>
      </c>
      <c r="AG60" s="4" t="str">
        <f aca="false">IF(V60&gt;L60+0.0001,"Gemini",IF(V60&lt;L60-0.0001,"ChatGPT","empate"))</f>
        <v>empate</v>
      </c>
    </row>
    <row r="61" customFormat="false" ht="26.85" hidden="false" customHeight="false" outlineLevel="0" collapsed="false">
      <c r="A61" s="4" t="n">
        <v>60</v>
      </c>
      <c r="B61" s="4" t="s">
        <v>176</v>
      </c>
      <c r="C61" s="4" t="s">
        <v>91</v>
      </c>
      <c r="D61" s="4" t="s">
        <v>61</v>
      </c>
      <c r="E61" s="4" t="s">
        <v>174</v>
      </c>
      <c r="F61" s="4" t="s">
        <v>111</v>
      </c>
      <c r="G61" s="4" t="s">
        <v>71</v>
      </c>
      <c r="H61" s="4" t="s">
        <v>49</v>
      </c>
      <c r="I61" s="4" t="n">
        <v>5</v>
      </c>
      <c r="J61" s="4" t="n">
        <v>5</v>
      </c>
      <c r="K61" s="4" t="n">
        <v>0</v>
      </c>
      <c r="L61" s="5" t="n">
        <f aca="false">IF(O61="executa",IFERROR(J61/(J61+K61),0),0)</f>
        <v>1</v>
      </c>
      <c r="M61" s="4" t="n">
        <v>1</v>
      </c>
      <c r="N61" s="4" t="s">
        <v>52</v>
      </c>
      <c r="O61" s="4" t="s">
        <v>51</v>
      </c>
      <c r="P61" s="4" t="s">
        <v>52</v>
      </c>
      <c r="Q61" s="4" t="s">
        <v>104</v>
      </c>
      <c r="R61" s="4" t="s">
        <v>71</v>
      </c>
      <c r="S61" s="4" t="n">
        <v>6</v>
      </c>
      <c r="T61" s="4" t="n">
        <v>6</v>
      </c>
      <c r="U61" s="4" t="n">
        <v>0</v>
      </c>
      <c r="V61" s="5" t="n">
        <f aca="false">IF(Y61="executa",IFERROR(T61/(T61+U61),0),0)</f>
        <v>1</v>
      </c>
      <c r="W61" s="4" t="n">
        <v>2</v>
      </c>
      <c r="X61" s="4" t="s">
        <v>52</v>
      </c>
      <c r="Y61" s="4" t="s">
        <v>51</v>
      </c>
      <c r="Z61" s="4" t="n">
        <v>1</v>
      </c>
      <c r="AA61" s="4" t="n">
        <v>0</v>
      </c>
      <c r="AB61" s="4" t="s">
        <v>87</v>
      </c>
      <c r="AC61" s="4" t="s">
        <v>71</v>
      </c>
      <c r="AD61" s="4" t="n">
        <f aca="false">S61-I61</f>
        <v>1</v>
      </c>
      <c r="AE61" s="5" t="n">
        <f aca="false">V61-L61</f>
        <v>0</v>
      </c>
      <c r="AF61" s="4" t="str">
        <f aca="false">IF(S61&gt;I61,"Gemini",IF(S61&lt;I61,"ChatGPT","empate"))</f>
        <v>Gemini</v>
      </c>
      <c r="AG61" s="4" t="str">
        <f aca="false">IF(V61&gt;L61+0.0001,"Gemini",IF(V61&lt;L61-0.0001,"ChatGPT","empate"))</f>
        <v>empate</v>
      </c>
    </row>
    <row r="62" customFormat="false" ht="39.55" hidden="false" customHeight="false" outlineLevel="0" collapsed="false">
      <c r="A62" s="4" t="s">
        <v>71</v>
      </c>
      <c r="B62" s="4" t="s">
        <v>177</v>
      </c>
      <c r="C62" s="4" t="s">
        <v>91</v>
      </c>
      <c r="D62" s="4" t="s">
        <v>61</v>
      </c>
      <c r="E62" s="4" t="s">
        <v>92</v>
      </c>
      <c r="F62" s="4" t="s">
        <v>178</v>
      </c>
      <c r="G62" s="4" t="s">
        <v>93</v>
      </c>
      <c r="H62" s="4" t="s">
        <v>74</v>
      </c>
      <c r="I62" s="4" t="n">
        <v>13</v>
      </c>
      <c r="J62" s="4" t="n">
        <v>0</v>
      </c>
      <c r="K62" s="4" t="n">
        <v>13</v>
      </c>
      <c r="L62" s="5" t="n">
        <f aca="false">IF(O62="executa",IFERROR(J62/(J62+K62),0),0)</f>
        <v>0</v>
      </c>
      <c r="M62" s="4" t="n">
        <v>3</v>
      </c>
      <c r="N62" s="4" t="s">
        <v>50</v>
      </c>
      <c r="O62" s="4" t="s">
        <v>51</v>
      </c>
      <c r="P62" s="4" t="s">
        <v>52</v>
      </c>
      <c r="Q62" s="4" t="s">
        <v>165</v>
      </c>
      <c r="R62" s="4" t="s">
        <v>179</v>
      </c>
      <c r="S62" s="4" t="n">
        <v>8</v>
      </c>
      <c r="T62" s="4" t="n">
        <v>4</v>
      </c>
      <c r="U62" s="4" t="n">
        <v>4</v>
      </c>
      <c r="V62" s="5" t="n">
        <f aca="false">IF(Y62="executa",IFERROR(T62/(T62+U62),0),0)</f>
        <v>0.5</v>
      </c>
      <c r="W62" s="4" t="n">
        <v>3</v>
      </c>
      <c r="X62" s="4" t="s">
        <v>52</v>
      </c>
      <c r="Y62" s="4" t="s">
        <v>51</v>
      </c>
      <c r="Z62" s="4" t="n">
        <v>2</v>
      </c>
      <c r="AA62" s="4" t="n">
        <v>1</v>
      </c>
      <c r="AB62" s="4" t="s">
        <v>156</v>
      </c>
      <c r="AC62" s="4" t="s">
        <v>180</v>
      </c>
      <c r="AD62" s="4" t="n">
        <f aca="false">S62-I62</f>
        <v>-5</v>
      </c>
      <c r="AE62" s="5" t="n">
        <f aca="false">V62-L62</f>
        <v>0.5</v>
      </c>
      <c r="AF62" s="4" t="str">
        <f aca="false">IF(S62&gt;I62,"Gemini",IF(S62&lt;I62,"ChatGPT","empate"))</f>
        <v>ChatGPT</v>
      </c>
      <c r="AG62" s="4" t="str">
        <f aca="false">IF(V62&gt;L62+0.0001,"Gemini",IF(V62&lt;L62-0.0001,"ChatGPT","empate"))</f>
        <v>Gemini</v>
      </c>
    </row>
    <row r="63" customFormat="false" ht="39.55" hidden="false" customHeight="false" outlineLevel="0" collapsed="false">
      <c r="A63" s="4" t="s">
        <v>71</v>
      </c>
      <c r="B63" s="4" t="s">
        <v>181</v>
      </c>
      <c r="C63" s="4" t="s">
        <v>91</v>
      </c>
      <c r="D63" s="4" t="s">
        <v>56</v>
      </c>
      <c r="E63" s="4" t="s">
        <v>92</v>
      </c>
      <c r="F63" s="4" t="s">
        <v>178</v>
      </c>
      <c r="G63" s="4" t="s">
        <v>93</v>
      </c>
      <c r="H63" s="4" t="s">
        <v>74</v>
      </c>
      <c r="I63" s="4" t="n">
        <v>2</v>
      </c>
      <c r="J63" s="4" t="n">
        <v>1</v>
      </c>
      <c r="K63" s="4" t="n">
        <v>1</v>
      </c>
      <c r="L63" s="5" t="n">
        <f aca="false">IF(O63="executa",IFERROR(J63/(J63+K63),0),0)</f>
        <v>0.5</v>
      </c>
      <c r="M63" s="4" t="n">
        <v>3</v>
      </c>
      <c r="N63" s="4" t="s">
        <v>50</v>
      </c>
      <c r="O63" s="4" t="s">
        <v>51</v>
      </c>
      <c r="P63" s="4" t="s">
        <v>52</v>
      </c>
      <c r="Q63" s="4" t="s">
        <v>76</v>
      </c>
      <c r="R63" s="4" t="s">
        <v>72</v>
      </c>
      <c r="S63" s="4" t="n">
        <v>2</v>
      </c>
      <c r="T63" s="4" t="n">
        <v>0</v>
      </c>
      <c r="U63" s="4" t="n">
        <v>2</v>
      </c>
      <c r="V63" s="5" t="n">
        <f aca="false">IF(Y63="executa",IFERROR(T63/(T63+U63),0),0)</f>
        <v>0</v>
      </c>
      <c r="W63" s="4" t="n">
        <v>2</v>
      </c>
      <c r="X63" s="4" t="s">
        <v>52</v>
      </c>
      <c r="Y63" s="4" t="s">
        <v>75</v>
      </c>
      <c r="Z63" s="4" t="n">
        <v>2</v>
      </c>
      <c r="AA63" s="4" t="n">
        <v>1</v>
      </c>
      <c r="AB63" s="4" t="s">
        <v>182</v>
      </c>
      <c r="AC63" s="4" t="s">
        <v>72</v>
      </c>
      <c r="AD63" s="4" t="n">
        <f aca="false">S63-I63</f>
        <v>0</v>
      </c>
      <c r="AE63" s="5" t="n">
        <f aca="false">V63-L63</f>
        <v>-0.5</v>
      </c>
      <c r="AF63" s="4" t="str">
        <f aca="false">IF(S63&gt;I63,"Gemini",IF(S63&lt;I63,"ChatGPT","empate"))</f>
        <v>empate</v>
      </c>
      <c r="AG63" s="4" t="str">
        <f aca="false">IF(V63&gt;L63+0.0001,"Gemini",IF(V63&lt;L63-0.0001,"ChatGPT","empate"))</f>
        <v>ChatGPT</v>
      </c>
    </row>
    <row r="64" customFormat="false" ht="39.55" hidden="false" customHeight="false" outlineLevel="0" collapsed="false">
      <c r="A64" s="4" t="s">
        <v>71</v>
      </c>
      <c r="B64" s="4" t="s">
        <v>183</v>
      </c>
      <c r="C64" s="4" t="s">
        <v>91</v>
      </c>
      <c r="D64" s="4" t="s">
        <v>45</v>
      </c>
      <c r="E64" s="4" t="s">
        <v>92</v>
      </c>
      <c r="F64" s="4" t="s">
        <v>178</v>
      </c>
      <c r="G64" s="4" t="s">
        <v>93</v>
      </c>
      <c r="H64" s="4" t="s">
        <v>74</v>
      </c>
      <c r="I64" s="4" t="n">
        <v>6</v>
      </c>
      <c r="J64" s="4" t="n">
        <v>1</v>
      </c>
      <c r="K64" s="4" t="n">
        <v>4</v>
      </c>
      <c r="L64" s="5" t="n">
        <f aca="false">IF(O64="executa",IFERROR(J64/(J64+K64),0),0)</f>
        <v>0.2</v>
      </c>
      <c r="M64" s="4" t="n">
        <v>3</v>
      </c>
      <c r="N64" s="4" t="s">
        <v>50</v>
      </c>
      <c r="O64" s="4" t="s">
        <v>51</v>
      </c>
      <c r="P64" s="4" t="s">
        <v>52</v>
      </c>
      <c r="Q64" s="4" t="s">
        <v>165</v>
      </c>
      <c r="R64" s="4" t="s">
        <v>184</v>
      </c>
      <c r="S64" s="4" t="n">
        <v>0</v>
      </c>
      <c r="T64" s="4" t="n">
        <v>0</v>
      </c>
      <c r="U64" s="4" t="n">
        <v>0</v>
      </c>
      <c r="V64" s="5" t="n">
        <f aca="false">IF(Y64="executa",IFERROR(T64/(T64+U64),0),0)</f>
        <v>0</v>
      </c>
      <c r="W64" s="4" t="n">
        <v>0</v>
      </c>
      <c r="X64" s="4" t="s">
        <v>71</v>
      </c>
      <c r="Y64" s="4" t="s">
        <v>185</v>
      </c>
      <c r="Z64" s="4" t="n">
        <v>2</v>
      </c>
      <c r="AA64" s="4" t="n">
        <v>2</v>
      </c>
      <c r="AB64" s="4" t="s">
        <v>71</v>
      </c>
      <c r="AC64" s="4" t="s">
        <v>186</v>
      </c>
      <c r="AD64" s="4" t="n">
        <f aca="false">S64-I64</f>
        <v>-6</v>
      </c>
      <c r="AE64" s="5" t="n">
        <f aca="false">V64-L64</f>
        <v>-0.2</v>
      </c>
      <c r="AF64" s="4" t="str">
        <f aca="false">IF(S64&gt;I64,"Gemini",IF(S64&lt;I64,"ChatGPT","empate"))</f>
        <v>ChatGPT</v>
      </c>
      <c r="AG64" s="4" t="str">
        <f aca="false">IF(V64&gt;L64+0.0001,"Gemini",IF(V64&lt;L64-0.0001,"ChatGPT","empate"))</f>
        <v>ChatGPT</v>
      </c>
    </row>
    <row r="65" customFormat="false" ht="39.55" hidden="false" customHeight="false" outlineLevel="0" collapsed="false">
      <c r="A65" s="4" t="s">
        <v>71</v>
      </c>
      <c r="B65" s="4" t="s">
        <v>187</v>
      </c>
      <c r="C65" s="4" t="s">
        <v>68</v>
      </c>
      <c r="D65" s="4" t="s">
        <v>56</v>
      </c>
      <c r="E65" s="4" t="s">
        <v>79</v>
      </c>
      <c r="F65" s="4" t="s">
        <v>178</v>
      </c>
      <c r="G65" s="4" t="s">
        <v>80</v>
      </c>
      <c r="H65" s="4" t="s">
        <v>74</v>
      </c>
      <c r="I65" s="4" t="n">
        <v>10</v>
      </c>
      <c r="J65" s="4" t="n">
        <v>0</v>
      </c>
      <c r="K65" s="4" t="n">
        <v>10</v>
      </c>
      <c r="L65" s="5" t="n">
        <f aca="false">IF(O65="executa",IFERROR(J65/(J65+K65),0),0)</f>
        <v>0</v>
      </c>
      <c r="M65" s="4" t="n">
        <v>3</v>
      </c>
      <c r="N65" s="4" t="s">
        <v>52</v>
      </c>
      <c r="O65" s="4" t="s">
        <v>75</v>
      </c>
      <c r="P65" s="4" t="s">
        <v>52</v>
      </c>
      <c r="Q65" s="4" t="s">
        <v>76</v>
      </c>
      <c r="R65" s="4" t="s">
        <v>188</v>
      </c>
      <c r="S65" s="4" t="n">
        <v>9</v>
      </c>
      <c r="T65" s="4" t="n">
        <v>0</v>
      </c>
      <c r="U65" s="4" t="n">
        <v>9</v>
      </c>
      <c r="V65" s="5" t="n">
        <f aca="false">IF(Y65="executa",IFERROR(T65/(T65+U65),0),0)</f>
        <v>0</v>
      </c>
      <c r="W65" s="4" t="n">
        <v>3</v>
      </c>
      <c r="X65" s="4" t="s">
        <v>52</v>
      </c>
      <c r="Y65" s="4" t="s">
        <v>75</v>
      </c>
      <c r="Z65" s="4" t="n">
        <v>2</v>
      </c>
      <c r="AA65" s="4" t="n">
        <v>1</v>
      </c>
      <c r="AB65" s="4" t="s">
        <v>76</v>
      </c>
      <c r="AC65" s="4" t="s">
        <v>84</v>
      </c>
      <c r="AD65" s="4" t="n">
        <f aca="false">S65-I65</f>
        <v>-1</v>
      </c>
      <c r="AE65" s="5" t="n">
        <f aca="false">V65-L65</f>
        <v>0</v>
      </c>
      <c r="AF65" s="4" t="str">
        <f aca="false">IF(S65&gt;I65,"Gemini",IF(S65&lt;I65,"ChatGPT","empate"))</f>
        <v>ChatGPT</v>
      </c>
      <c r="AG65" s="4" t="str">
        <f aca="false">IF(V65&gt;L65+0.0001,"Gemini",IF(V65&lt;L65-0.0001,"ChatGPT","empate"))</f>
        <v>empate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6" min="4" style="0" width="8"/>
    <col collapsed="false" customWidth="true" hidden="false" outlineLevel="0" max="7" min="7" style="0" width="9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4" min="13" style="0" width="8"/>
    <col collapsed="false" customWidth="true" hidden="false" outlineLevel="0" max="15" min="15" style="0" width="9"/>
    <col collapsed="false" customWidth="true" hidden="false" outlineLevel="0" max="17" min="16" style="0" width="8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7"/>
    <col collapsed="false" customWidth="true" hidden="false" outlineLevel="0" max="21" min="21" style="0" width="8"/>
    <col collapsed="false" customWidth="true" hidden="false" outlineLevel="0" max="22" min="22" style="0" width="7"/>
    <col collapsed="false" customWidth="true" hidden="false" outlineLevel="0" max="24" min="23" style="0" width="8"/>
    <col collapsed="false" customWidth="true" hidden="false" outlineLevel="0" max="25" min="25" style="0" width="7"/>
    <col collapsed="false" customWidth="true" hidden="false" outlineLevel="0" max="26" min="26" style="0" width="8"/>
  </cols>
  <sheetData>
    <row r="1" customFormat="false" ht="128.35" hidden="false" customHeight="false" outlineLevel="0" collapsed="false">
      <c r="A1" s="6" t="s">
        <v>189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52.2" hidden="false" customHeight="false" outlineLevel="0" collapsed="false">
      <c r="A3" s="3" t="s">
        <v>15</v>
      </c>
      <c r="B3" s="3" t="s">
        <v>12</v>
      </c>
      <c r="C3" s="3" t="s">
        <v>13</v>
      </c>
      <c r="D3" s="3" t="s">
        <v>190</v>
      </c>
      <c r="E3" s="3" t="s">
        <v>18</v>
      </c>
      <c r="F3" s="3" t="s">
        <v>19</v>
      </c>
      <c r="G3" s="3" t="s">
        <v>21</v>
      </c>
      <c r="H3" s="3" t="s">
        <v>191</v>
      </c>
      <c r="I3" s="3" t="s">
        <v>192</v>
      </c>
      <c r="J3" s="3" t="s">
        <v>193</v>
      </c>
      <c r="K3" s="3" t="s">
        <v>194</v>
      </c>
      <c r="L3" s="3" t="s">
        <v>195</v>
      </c>
      <c r="M3" s="3" t="s">
        <v>28</v>
      </c>
      <c r="N3" s="3" t="s">
        <v>29</v>
      </c>
      <c r="O3" s="3" t="s">
        <v>31</v>
      </c>
      <c r="P3" s="3" t="s">
        <v>196</v>
      </c>
      <c r="Q3" s="3" t="s">
        <v>197</v>
      </c>
      <c r="R3" s="3" t="s">
        <v>198</v>
      </c>
      <c r="S3" s="3" t="s">
        <v>199</v>
      </c>
      <c r="T3" s="3" t="s">
        <v>36</v>
      </c>
      <c r="U3" s="3" t="s">
        <v>200</v>
      </c>
      <c r="V3" s="3" t="s">
        <v>201</v>
      </c>
      <c r="W3" s="3" t="s">
        <v>202</v>
      </c>
      <c r="X3" s="3" t="s">
        <v>203</v>
      </c>
      <c r="Y3" s="3" t="s">
        <v>204</v>
      </c>
      <c r="Z3" s="3" t="s">
        <v>205</v>
      </c>
    </row>
    <row r="4" customFormat="false" ht="15" hidden="false" customHeight="false" outlineLevel="0" collapsed="false">
      <c r="A4" s="4" t="s">
        <v>111</v>
      </c>
      <c r="B4" s="4" t="s">
        <v>44</v>
      </c>
      <c r="C4" s="4" t="s">
        <v>45</v>
      </c>
      <c r="D4" s="4" t="n">
        <f aca="false">COUNTIFS(Pareado!$F$2:$F$65,"Limpo",Pareado!$C$2:$C$65,"Unitário",Pareado!$D$2:$D$65,"ZS")</f>
        <v>7</v>
      </c>
      <c r="E4" s="4" t="n">
        <f aca="false">SUMIFS(Pareado!$I$2:$I$65,Pareado!$F$2:$F$65,"Limpo",Pareado!$C$2:$C$65,"Unitário",Pareado!$D$2:$D$65,"ZS")</f>
        <v>145</v>
      </c>
      <c r="F4" s="4" t="n">
        <f aca="false">SUMIFS(Pareado!$J$2:$J$65,Pareado!$F$2:$F$65,"Limpo",Pareado!$C$2:$C$65,"Unitário",Pareado!$D$2:$D$65,"ZS")</f>
        <v>145</v>
      </c>
      <c r="G4" s="5" t="n">
        <f aca="false">IFERROR(F4/(F4+SUMIFS(Pareado!$K$2:$K$65,Pareado!$F$2:$F$65,"Limpo",Pareado!$C$2:$C$65,"Unitário",Pareado!$D$2:$D$65,"ZS",Pareado!$O$2:$O$65,"executa")),0)</f>
        <v>1</v>
      </c>
      <c r="H4" s="4" t="n">
        <f aca="false">COUNTIFS(Pareado!$F$2:$F$65,"Limpo",Pareado!$C$2:$C$65,"Unitário",Pareado!$D$2:$D$65,"ZS",Pareado!$L$2:$L$65,1)</f>
        <v>7</v>
      </c>
      <c r="I4" s="4" t="n">
        <f aca="false">SUMIFS(Pareado!$M$2:$M$65,Pareado!$F$2:$F$65,"Limpo",Pareado!$C$2:$C$65,"Unitário",Pareado!$D$2:$D$65,"ZS")</f>
        <v>3</v>
      </c>
      <c r="J4" s="4" t="n">
        <f aca="false">COUNTIFS(Pareado!$F$2:$F$65,"Limpo",Pareado!$C$2:$C$65,"Unitário",Pareado!$D$2:$D$65,"ZS",Pareado!$M$2:$M$65,3)</f>
        <v>0</v>
      </c>
      <c r="K4" s="4" t="n">
        <f aca="false">COUNTIFS(Pareado!$F$2:$F$65,"Limpo",Pareado!$C$2:$C$65,"Unitário",Pareado!$D$2:$D$65,"ZS",Pareado!$O$2:$O$65,"&lt;&gt;executa")</f>
        <v>0</v>
      </c>
      <c r="L4" s="4" t="n">
        <f aca="false">COUNTIFS(Pareado!$F$2:$F$65,"Limpo",Pareado!$C$2:$C$65,"Unitário",Pareado!$D$2:$D$65,"ZS",Pareado!$P$2:$P$65,"Sim")</f>
        <v>0</v>
      </c>
      <c r="M4" s="4" t="n">
        <f aca="false">SUMIFS(Pareado!$S$2:$S$65,Pareado!$F$2:$F$65,"Limpo",Pareado!$C$2:$C$65,"Unitário",Pareado!$D$2:$D$65,"ZS")</f>
        <v>114</v>
      </c>
      <c r="N4" s="4" t="n">
        <f aca="false">SUMIFS(Pareado!$T$2:$T$65,Pareado!$F$2:$F$65,"Limpo",Pareado!$C$2:$C$65,"Unitário",Pareado!$D$2:$D$65,"ZS")</f>
        <v>114</v>
      </c>
      <c r="O4" s="5" t="n">
        <f aca="false">IFERROR(N4/(N4+SUMIFS(Pareado!$U$2:$U$65,Pareado!$F$2:$F$65,"Limpo",Pareado!$C$2:$C$65,"Unitário",Pareado!$D$2:$D$65,"ZS",Pareado!$Y$2:$Y$65,"executa")),0)</f>
        <v>1</v>
      </c>
      <c r="P4" s="4" t="n">
        <f aca="false">COUNTIFS(Pareado!$F$2:$F$65,"Limpo",Pareado!$C$2:$C$65,"Unitário",Pareado!$D$2:$D$65,"ZS",Pareado!$V$2:$V$65,1)</f>
        <v>7</v>
      </c>
      <c r="Q4" s="4" t="n">
        <f aca="false">SUMIFS(Pareado!$W$2:$W$65,Pareado!$F$2:$F$65,"Limpo",Pareado!$C$2:$C$65,"Unitário",Pareado!$D$2:$D$65,"ZS")</f>
        <v>1</v>
      </c>
      <c r="R4" s="4" t="n">
        <f aca="false">COUNTIFS(Pareado!$F$2:$F$65,"Limpo",Pareado!$C$2:$C$65,"Unitário",Pareado!$D$2:$D$65,"ZS",Pareado!$W$2:$W$65,3)</f>
        <v>0</v>
      </c>
      <c r="S4" s="4" t="n">
        <f aca="false">COUNTIFS(Pareado!$F$2:$F$65,"Limpo",Pareado!$C$2:$C$65,"Unitário",Pareado!$D$2:$D$65,"ZS",Pareado!$Y$2:$Y$65,"&lt;&gt;executa")</f>
        <v>0</v>
      </c>
      <c r="T4" s="4" t="n">
        <f aca="false">SUMIFS(Pareado!$AA$2:$AA$65,Pareado!$F$2:$F$65,"Limpo",Pareado!$C$2:$C$65,"Unitário",Pareado!$D$2:$D$65,"ZS")</f>
        <v>4</v>
      </c>
      <c r="U4" s="4" t="n">
        <f aca="false">COUNTIFS(Pareado!$F$2:$F$65,"Limpo",Pareado!$C$2:$C$65,"Unitário",Pareado!$D$2:$D$65,"ZS",Pareado!$AF$2:$AF$65,"ChatGPT")</f>
        <v>6</v>
      </c>
      <c r="V4" s="4" t="n">
        <f aca="false">COUNTIFS(Pareado!$F$2:$F$65,"Limpo",Pareado!$C$2:$C$65,"Unitário",Pareado!$D$2:$D$65,"ZS",Pareado!$AF$2:$AF$65,"empate")</f>
        <v>0</v>
      </c>
      <c r="W4" s="4" t="n">
        <f aca="false">COUNTIFS(Pareado!$F$2:$F$65,"Limpo",Pareado!$C$2:$C$65,"Unitário",Pareado!$D$2:$D$65,"ZS",Pareado!$AF$2:$AF$65,"Gemini")</f>
        <v>1</v>
      </c>
      <c r="X4" s="4" t="n">
        <f aca="false">COUNTIFS(Pareado!$F$2:$F$65,"Limpo",Pareado!$C$2:$C$65,"Unitário",Pareado!$D$2:$D$65,"ZS",Pareado!$AG$2:$AG$65,"ChatGPT")</f>
        <v>0</v>
      </c>
      <c r="Y4" s="4" t="n">
        <f aca="false">COUNTIFS(Pareado!$F$2:$F$65,"Limpo",Pareado!$C$2:$C$65,"Unitário",Pareado!$D$2:$D$65,"ZS",Pareado!$AG$2:$AG$65,"empate")</f>
        <v>7</v>
      </c>
      <c r="Z4" s="4" t="n">
        <f aca="false">COUNTIFS(Pareado!$F$2:$F$65,"Limpo",Pareado!$C$2:$C$65,"Unitário",Pareado!$D$2:$D$65,"ZS",Pareado!$AG$2:$AG$65,"Gemini")</f>
        <v>0</v>
      </c>
    </row>
    <row r="5" customFormat="false" ht="15" hidden="false" customHeight="false" outlineLevel="0" collapsed="false">
      <c r="A5" s="4" t="s">
        <v>111</v>
      </c>
      <c r="B5" s="4" t="s">
        <v>44</v>
      </c>
      <c r="C5" s="4" t="s">
        <v>56</v>
      </c>
      <c r="D5" s="4" t="n">
        <f aca="false">COUNTIFS(Pareado!$F$2:$F$65,"Limpo",Pareado!$C$2:$C$65,"Unitário",Pareado!$D$2:$D$65,"FS")</f>
        <v>7</v>
      </c>
      <c r="E5" s="4" t="n">
        <f aca="false">SUMIFS(Pareado!$I$2:$I$65,Pareado!$F$2:$F$65,"Limpo",Pareado!$C$2:$C$65,"Unitário",Pareado!$D$2:$D$65,"FS")</f>
        <v>54</v>
      </c>
      <c r="F5" s="4" t="n">
        <f aca="false">SUMIFS(Pareado!$J$2:$J$65,Pareado!$F$2:$F$65,"Limpo",Pareado!$C$2:$C$65,"Unitário",Pareado!$D$2:$D$65,"FS")</f>
        <v>54</v>
      </c>
      <c r="G5" s="5" t="n">
        <f aca="false">IFERROR(F5/(F5+SUMIFS(Pareado!$K$2:$K$65,Pareado!$F$2:$F$65,"Limpo",Pareado!$C$2:$C$65,"Unitário",Pareado!$D$2:$D$65,"FS",Pareado!$O$2:$O$65,"executa")),0)</f>
        <v>1</v>
      </c>
      <c r="H5" s="4" t="n">
        <f aca="false">COUNTIFS(Pareado!$F$2:$F$65,"Limpo",Pareado!$C$2:$C$65,"Unitário",Pareado!$D$2:$D$65,"FS",Pareado!$L$2:$L$65,1)</f>
        <v>7</v>
      </c>
      <c r="I5" s="4" t="n">
        <f aca="false">SUMIFS(Pareado!$M$2:$M$65,Pareado!$F$2:$F$65,"Limpo",Pareado!$C$2:$C$65,"Unitário",Pareado!$D$2:$D$65,"FS")</f>
        <v>0</v>
      </c>
      <c r="J5" s="4" t="n">
        <f aca="false">COUNTIFS(Pareado!$F$2:$F$65,"Limpo",Pareado!$C$2:$C$65,"Unitário",Pareado!$D$2:$D$65,"FS",Pareado!$M$2:$M$65,3)</f>
        <v>0</v>
      </c>
      <c r="K5" s="4" t="n">
        <f aca="false">COUNTIFS(Pareado!$F$2:$F$65,"Limpo",Pareado!$C$2:$C$65,"Unitário",Pareado!$D$2:$D$65,"FS",Pareado!$O$2:$O$65,"&lt;&gt;executa")</f>
        <v>0</v>
      </c>
      <c r="L5" s="4" t="n">
        <f aca="false">COUNTIFS(Pareado!$F$2:$F$65,"Limpo",Pareado!$C$2:$C$65,"Unitário",Pareado!$D$2:$D$65,"FS",Pareado!$P$2:$P$65,"Sim")</f>
        <v>0</v>
      </c>
      <c r="M5" s="4" t="n">
        <f aca="false">SUMIFS(Pareado!$S$2:$S$65,Pareado!$F$2:$F$65,"Limpo",Pareado!$C$2:$C$65,"Unitário",Pareado!$D$2:$D$65,"FS")</f>
        <v>53</v>
      </c>
      <c r="N5" s="4" t="n">
        <f aca="false">SUMIFS(Pareado!$T$2:$T$65,Pareado!$F$2:$F$65,"Limpo",Pareado!$C$2:$C$65,"Unitário",Pareado!$D$2:$D$65,"FS")</f>
        <v>53</v>
      </c>
      <c r="O5" s="5" t="n">
        <f aca="false">IFERROR(N5/(N5+SUMIFS(Pareado!$U$2:$U$65,Pareado!$F$2:$F$65,"Limpo",Pareado!$C$2:$C$65,"Unitário",Pareado!$D$2:$D$65,"FS",Pareado!$Y$2:$Y$65,"executa")),0)</f>
        <v>1</v>
      </c>
      <c r="P5" s="4" t="n">
        <f aca="false">COUNTIFS(Pareado!$F$2:$F$65,"Limpo",Pareado!$C$2:$C$65,"Unitário",Pareado!$D$2:$D$65,"FS",Pareado!$V$2:$V$65,1)</f>
        <v>7</v>
      </c>
      <c r="Q5" s="4" t="n">
        <f aca="false">SUMIFS(Pareado!$W$2:$W$65,Pareado!$F$2:$F$65,"Limpo",Pareado!$C$2:$C$65,"Unitário",Pareado!$D$2:$D$65,"FS")</f>
        <v>0</v>
      </c>
      <c r="R5" s="4" t="n">
        <f aca="false">COUNTIFS(Pareado!$F$2:$F$65,"Limpo",Pareado!$C$2:$C$65,"Unitário",Pareado!$D$2:$D$65,"FS",Pareado!$W$2:$W$65,3)</f>
        <v>0</v>
      </c>
      <c r="S5" s="4" t="n">
        <f aca="false">COUNTIFS(Pareado!$F$2:$F$65,"Limpo",Pareado!$C$2:$C$65,"Unitário",Pareado!$D$2:$D$65,"FS",Pareado!$Y$2:$Y$65,"&lt;&gt;executa")</f>
        <v>0</v>
      </c>
      <c r="T5" s="4" t="n">
        <f aca="false">SUMIFS(Pareado!$AA$2:$AA$65,Pareado!$F$2:$F$65,"Limpo",Pareado!$C$2:$C$65,"Unitário",Pareado!$D$2:$D$65,"FS")</f>
        <v>2</v>
      </c>
      <c r="U5" s="4" t="n">
        <f aca="false">COUNTIFS(Pareado!$F$2:$F$65,"Limpo",Pareado!$C$2:$C$65,"Unitário",Pareado!$D$2:$D$65,"FS",Pareado!$AF$2:$AF$65,"ChatGPT")</f>
        <v>3</v>
      </c>
      <c r="V5" s="4" t="n">
        <f aca="false">COUNTIFS(Pareado!$F$2:$F$65,"Limpo",Pareado!$C$2:$C$65,"Unitário",Pareado!$D$2:$D$65,"FS",Pareado!$AF$2:$AF$65,"empate")</f>
        <v>0</v>
      </c>
      <c r="W5" s="4" t="n">
        <f aca="false">COUNTIFS(Pareado!$F$2:$F$65,"Limpo",Pareado!$C$2:$C$65,"Unitário",Pareado!$D$2:$D$65,"FS",Pareado!$AF$2:$AF$65,"Gemini")</f>
        <v>4</v>
      </c>
      <c r="X5" s="4" t="n">
        <f aca="false">COUNTIFS(Pareado!$F$2:$F$65,"Limpo",Pareado!$C$2:$C$65,"Unitário",Pareado!$D$2:$D$65,"FS",Pareado!$AG$2:$AG$65,"ChatGPT")</f>
        <v>0</v>
      </c>
      <c r="Y5" s="4" t="n">
        <f aca="false">COUNTIFS(Pareado!$F$2:$F$65,"Limpo",Pareado!$C$2:$C$65,"Unitário",Pareado!$D$2:$D$65,"FS",Pareado!$AG$2:$AG$65,"empate")</f>
        <v>7</v>
      </c>
      <c r="Z5" s="4" t="n">
        <f aca="false">COUNTIFS(Pareado!$F$2:$F$65,"Limpo",Pareado!$C$2:$C$65,"Unitário",Pareado!$D$2:$D$65,"FS",Pareado!$AG$2:$AG$65,"Gemini")</f>
        <v>0</v>
      </c>
    </row>
    <row r="6" customFormat="false" ht="15" hidden="false" customHeight="false" outlineLevel="0" collapsed="false">
      <c r="A6" s="4" t="s">
        <v>111</v>
      </c>
      <c r="B6" s="4" t="s">
        <v>44</v>
      </c>
      <c r="C6" s="4" t="s">
        <v>61</v>
      </c>
      <c r="D6" s="4" t="n">
        <f aca="false">COUNTIFS(Pareado!$F$2:$F$65,"Limpo",Pareado!$C$2:$C$65,"Unitário",Pareado!$D$2:$D$65,"COT")</f>
        <v>7</v>
      </c>
      <c r="E6" s="4" t="n">
        <f aca="false">SUMIFS(Pareado!$I$2:$I$65,Pareado!$F$2:$F$65,"Limpo",Pareado!$C$2:$C$65,"Unitário",Pareado!$D$2:$D$65,"COT")</f>
        <v>175</v>
      </c>
      <c r="F6" s="4" t="n">
        <f aca="false">SUMIFS(Pareado!$J$2:$J$65,Pareado!$F$2:$F$65,"Limpo",Pareado!$C$2:$C$65,"Unitário",Pareado!$D$2:$D$65,"COT")</f>
        <v>174</v>
      </c>
      <c r="G6" s="5" t="n">
        <f aca="false">IFERROR(F6/(F6+SUMIFS(Pareado!$K$2:$K$65,Pareado!$F$2:$F$65,"Limpo",Pareado!$C$2:$C$65,"Unitário",Pareado!$D$2:$D$65,"COT",Pareado!$O$2:$O$65,"executa")),0)</f>
        <v>0.994285714285714</v>
      </c>
      <c r="H6" s="4" t="n">
        <f aca="false">COUNTIFS(Pareado!$F$2:$F$65,"Limpo",Pareado!$C$2:$C$65,"Unitário",Pareado!$D$2:$D$65,"COT",Pareado!$L$2:$L$65,1)</f>
        <v>6</v>
      </c>
      <c r="I6" s="4" t="n">
        <f aca="false">SUMIFS(Pareado!$M$2:$M$65,Pareado!$F$2:$F$65,"Limpo",Pareado!$C$2:$C$65,"Unitário",Pareado!$D$2:$D$65,"COT")</f>
        <v>3</v>
      </c>
      <c r="J6" s="4" t="n">
        <f aca="false">COUNTIFS(Pareado!$F$2:$F$65,"Limpo",Pareado!$C$2:$C$65,"Unitário",Pareado!$D$2:$D$65,"COT",Pareado!$M$2:$M$65,3)</f>
        <v>0</v>
      </c>
      <c r="K6" s="4" t="n">
        <f aca="false">COUNTIFS(Pareado!$F$2:$F$65,"Limpo",Pareado!$C$2:$C$65,"Unitário",Pareado!$D$2:$D$65,"COT",Pareado!$O$2:$O$65,"&lt;&gt;executa")</f>
        <v>0</v>
      </c>
      <c r="L6" s="4" t="n">
        <f aca="false">COUNTIFS(Pareado!$F$2:$F$65,"Limpo",Pareado!$C$2:$C$65,"Unitário",Pareado!$D$2:$D$65,"COT",Pareado!$P$2:$P$65,"Sim")</f>
        <v>0</v>
      </c>
      <c r="M6" s="4" t="n">
        <f aca="false">SUMIFS(Pareado!$S$2:$S$65,Pareado!$F$2:$F$65,"Limpo",Pareado!$C$2:$C$65,"Unitário",Pareado!$D$2:$D$65,"COT")</f>
        <v>97</v>
      </c>
      <c r="N6" s="4" t="n">
        <f aca="false">SUMIFS(Pareado!$T$2:$T$65,Pareado!$F$2:$F$65,"Limpo",Pareado!$C$2:$C$65,"Unitário",Pareado!$D$2:$D$65,"COT")</f>
        <v>97</v>
      </c>
      <c r="O6" s="5" t="n">
        <f aca="false">IFERROR(N6/(N6+SUMIFS(Pareado!$U$2:$U$65,Pareado!$F$2:$F$65,"Limpo",Pareado!$C$2:$C$65,"Unitário",Pareado!$D$2:$D$65,"COT",Pareado!$Y$2:$Y$65,"executa")),0)</f>
        <v>1</v>
      </c>
      <c r="P6" s="4" t="n">
        <f aca="false">COUNTIFS(Pareado!$F$2:$F$65,"Limpo",Pareado!$C$2:$C$65,"Unitário",Pareado!$D$2:$D$65,"COT",Pareado!$V$2:$V$65,1)</f>
        <v>7</v>
      </c>
      <c r="Q6" s="4" t="n">
        <f aca="false">SUMIFS(Pareado!$W$2:$W$65,Pareado!$F$2:$F$65,"Limpo",Pareado!$C$2:$C$65,"Unitário",Pareado!$D$2:$D$65,"COT")</f>
        <v>1</v>
      </c>
      <c r="R6" s="4" t="n">
        <f aca="false">COUNTIFS(Pareado!$F$2:$F$65,"Limpo",Pareado!$C$2:$C$65,"Unitário",Pareado!$D$2:$D$65,"COT",Pareado!$W$2:$W$65,3)</f>
        <v>0</v>
      </c>
      <c r="S6" s="4" t="n">
        <f aca="false">COUNTIFS(Pareado!$F$2:$F$65,"Limpo",Pareado!$C$2:$C$65,"Unitário",Pareado!$D$2:$D$65,"COT",Pareado!$Y$2:$Y$65,"&lt;&gt;executa")</f>
        <v>0</v>
      </c>
      <c r="T6" s="4" t="n">
        <f aca="false">SUMIFS(Pareado!$AA$2:$AA$65,Pareado!$F$2:$F$65,"Limpo",Pareado!$C$2:$C$65,"Unitário",Pareado!$D$2:$D$65,"COT")</f>
        <v>4</v>
      </c>
      <c r="U6" s="4" t="n">
        <f aca="false">COUNTIFS(Pareado!$F$2:$F$65,"Limpo",Pareado!$C$2:$C$65,"Unitário",Pareado!$D$2:$D$65,"COT",Pareado!$AF$2:$AF$65,"ChatGPT")</f>
        <v>7</v>
      </c>
      <c r="V6" s="4" t="n">
        <f aca="false">COUNTIFS(Pareado!$F$2:$F$65,"Limpo",Pareado!$C$2:$C$65,"Unitário",Pareado!$D$2:$D$65,"COT",Pareado!$AF$2:$AF$65,"empate")</f>
        <v>0</v>
      </c>
      <c r="W6" s="4" t="n">
        <f aca="false">COUNTIFS(Pareado!$F$2:$F$65,"Limpo",Pareado!$C$2:$C$65,"Unitário",Pareado!$D$2:$D$65,"COT",Pareado!$AF$2:$AF$65,"Gemini")</f>
        <v>0</v>
      </c>
      <c r="X6" s="4" t="n">
        <f aca="false">COUNTIFS(Pareado!$F$2:$F$65,"Limpo",Pareado!$C$2:$C$65,"Unitário",Pareado!$D$2:$D$65,"COT",Pareado!$AG$2:$AG$65,"ChatGPT")</f>
        <v>0</v>
      </c>
      <c r="Y6" s="4" t="n">
        <f aca="false">COUNTIFS(Pareado!$F$2:$F$65,"Limpo",Pareado!$C$2:$C$65,"Unitário",Pareado!$D$2:$D$65,"COT",Pareado!$AG$2:$AG$65,"empate")</f>
        <v>6</v>
      </c>
      <c r="Z6" s="4" t="n">
        <f aca="false">COUNTIFS(Pareado!$F$2:$F$65,"Limpo",Pareado!$C$2:$C$65,"Unitário",Pareado!$D$2:$D$65,"COT",Pareado!$AG$2:$AG$65,"Gemini")</f>
        <v>1</v>
      </c>
    </row>
    <row r="7" customFormat="false" ht="15" hidden="false" customHeight="false" outlineLevel="0" collapsed="false">
      <c r="A7" s="7" t="s">
        <v>111</v>
      </c>
      <c r="B7" s="7" t="s">
        <v>44</v>
      </c>
      <c r="C7" s="7" t="s">
        <v>206</v>
      </c>
      <c r="D7" s="7" t="n">
        <f aca="false">COUNTIFS(Pareado!$F$2:$F$65,"Limpo",Pareado!$C$2:$C$65,"Unitário")</f>
        <v>21</v>
      </c>
      <c r="E7" s="7" t="n">
        <f aca="false">SUMIFS(Pareado!$I$2:$I$65,Pareado!$F$2:$F$65,"Limpo",Pareado!$C$2:$C$65,"Unitário")</f>
        <v>374</v>
      </c>
      <c r="F7" s="7" t="n">
        <f aca="false">SUMIFS(Pareado!$J$2:$J$65,Pareado!$F$2:$F$65,"Limpo",Pareado!$C$2:$C$65,"Unitário")</f>
        <v>373</v>
      </c>
      <c r="G7" s="8" t="n">
        <f aca="false">IFERROR(F7/(F7+SUMIFS(Pareado!$K$2:$K$65,Pareado!$F$2:$F$65,"Limpo",Pareado!$C$2:$C$65,"Unitário",Pareado!$O$2:$O$65,"executa")),0)</f>
        <v>0.997326203208556</v>
      </c>
      <c r="H7" s="7" t="n">
        <f aca="false">COUNTIFS(Pareado!$F$2:$F$65,"Limpo",Pareado!$C$2:$C$65,"Unitário",Pareado!$L$2:$L$65,1)</f>
        <v>20</v>
      </c>
      <c r="I7" s="7" t="n">
        <f aca="false">SUMIFS(Pareado!$M$2:$M$65,Pareado!$F$2:$F$65,"Limpo",Pareado!$C$2:$C$65,"Unitário")</f>
        <v>6</v>
      </c>
      <c r="J7" s="7" t="n">
        <f aca="false">COUNTIFS(Pareado!$F$2:$F$65,"Limpo",Pareado!$C$2:$C$65,"Unitário",Pareado!$M$2:$M$65,3)</f>
        <v>0</v>
      </c>
      <c r="K7" s="7" t="n">
        <f aca="false">COUNTIFS(Pareado!$F$2:$F$65,"Limpo",Pareado!$C$2:$C$65,"Unitário",Pareado!$O$2:$O$65,"&lt;&gt;executa")</f>
        <v>0</v>
      </c>
      <c r="L7" s="7" t="n">
        <f aca="false">COUNTIFS(Pareado!$F$2:$F$65,"Limpo",Pareado!$C$2:$C$65,"Unitário",Pareado!$P$2:$P$65,"Sim")</f>
        <v>0</v>
      </c>
      <c r="M7" s="7" t="n">
        <f aca="false">SUMIFS(Pareado!$S$2:$S$65,Pareado!$F$2:$F$65,"Limpo",Pareado!$C$2:$C$65,"Unitário")</f>
        <v>264</v>
      </c>
      <c r="N7" s="7" t="n">
        <f aca="false">SUMIFS(Pareado!$T$2:$T$65,Pareado!$F$2:$F$65,"Limpo",Pareado!$C$2:$C$65,"Unitário")</f>
        <v>264</v>
      </c>
      <c r="O7" s="8" t="n">
        <f aca="false">IFERROR(N7/(N7+SUMIFS(Pareado!$U$2:$U$65,Pareado!$F$2:$F$65,"Limpo",Pareado!$C$2:$C$65,"Unitário",Pareado!$Y$2:$Y$65,"executa")),0)</f>
        <v>1</v>
      </c>
      <c r="P7" s="7" t="n">
        <f aca="false">COUNTIFS(Pareado!$F$2:$F$65,"Limpo",Pareado!$C$2:$C$65,"Unitário",Pareado!$V$2:$V$65,1)</f>
        <v>21</v>
      </c>
      <c r="Q7" s="7" t="n">
        <f aca="false">SUMIFS(Pareado!$W$2:$W$65,Pareado!$F$2:$F$65,"Limpo",Pareado!$C$2:$C$65,"Unitário")</f>
        <v>2</v>
      </c>
      <c r="R7" s="7" t="n">
        <f aca="false">COUNTIFS(Pareado!$F$2:$F$65,"Limpo",Pareado!$C$2:$C$65,"Unitário",Pareado!$W$2:$W$65,3)</f>
        <v>0</v>
      </c>
      <c r="S7" s="7" t="n">
        <f aca="false">COUNTIFS(Pareado!$F$2:$F$65,"Limpo",Pareado!$C$2:$C$65,"Unitário",Pareado!$Y$2:$Y$65,"&lt;&gt;executa")</f>
        <v>0</v>
      </c>
      <c r="T7" s="7" t="n">
        <f aca="false">SUMIFS(Pareado!$AA$2:$AA$65,Pareado!$F$2:$F$65,"Limpo",Pareado!$C$2:$C$65,"Unitário")</f>
        <v>10</v>
      </c>
      <c r="U7" s="7" t="n">
        <f aca="false">COUNTIFS(Pareado!$F$2:$F$65,"Limpo",Pareado!$C$2:$C$65,"Unitário",Pareado!$AF$2:$AF$65,"ChatGPT")</f>
        <v>16</v>
      </c>
      <c r="V7" s="7" t="n">
        <f aca="false">COUNTIFS(Pareado!$F$2:$F$65,"Limpo",Pareado!$C$2:$C$65,"Unitário",Pareado!$AF$2:$AF$65,"empate")</f>
        <v>0</v>
      </c>
      <c r="W7" s="7" t="n">
        <f aca="false">COUNTIFS(Pareado!$F$2:$F$65,"Limpo",Pareado!$C$2:$C$65,"Unitário",Pareado!$AF$2:$AF$65,"Gemini")</f>
        <v>5</v>
      </c>
      <c r="X7" s="7" t="n">
        <f aca="false">COUNTIFS(Pareado!$F$2:$F$65,"Limpo",Pareado!$C$2:$C$65,"Unitário",Pareado!$AG$2:$AG$65,"ChatGPT")</f>
        <v>0</v>
      </c>
      <c r="Y7" s="7" t="n">
        <f aca="false">COUNTIFS(Pareado!$F$2:$F$65,"Limpo",Pareado!$C$2:$C$65,"Unitário",Pareado!$AG$2:$AG$65,"empate")</f>
        <v>20</v>
      </c>
      <c r="Z7" s="7" t="n">
        <f aca="false">COUNTIFS(Pareado!$F$2:$F$65,"Limpo",Pareado!$C$2:$C$65,"Unitário",Pareado!$AG$2:$AG$65,"Gemini")</f>
        <v>1</v>
      </c>
    </row>
    <row r="8" customFormat="false" ht="15" hidden="false" customHeight="false" outlineLevel="0" collapsed="false">
      <c r="A8" s="4" t="s">
        <v>111</v>
      </c>
      <c r="B8" s="4" t="s">
        <v>68</v>
      </c>
      <c r="C8" s="4" t="s">
        <v>45</v>
      </c>
      <c r="D8" s="4" t="n">
        <f aca="false">COUNTIFS(Pareado!$F$2:$F$65,"Limpo",Pareado!$C$2:$C$65,"Widget",Pareado!$D$2:$D$65,"ZS")</f>
        <v>3</v>
      </c>
      <c r="E8" s="4" t="n">
        <f aca="false">SUMIFS(Pareado!$I$2:$I$65,Pareado!$F$2:$F$65,"Limpo",Pareado!$C$2:$C$65,"Widget",Pareado!$D$2:$D$65,"ZS")</f>
        <v>42</v>
      </c>
      <c r="F8" s="4" t="n">
        <f aca="false">SUMIFS(Pareado!$J$2:$J$65,Pareado!$F$2:$F$65,"Limpo",Pareado!$C$2:$C$65,"Widget",Pareado!$D$2:$D$65,"ZS")</f>
        <v>40</v>
      </c>
      <c r="G8" s="5" t="n">
        <f aca="false">IFERROR(F8/(F8+SUMIFS(Pareado!$K$2:$K$65,Pareado!$F$2:$F$65,"Limpo",Pareado!$C$2:$C$65,"Widget",Pareado!$D$2:$D$65,"ZS",Pareado!$O$2:$O$65,"executa")),0)</f>
        <v>0.952380952380952</v>
      </c>
      <c r="H8" s="4" t="n">
        <f aca="false">COUNTIFS(Pareado!$F$2:$F$65,"Limpo",Pareado!$C$2:$C$65,"Widget",Pareado!$D$2:$D$65,"ZS",Pareado!$L$2:$L$65,1)</f>
        <v>1</v>
      </c>
      <c r="I8" s="4" t="n">
        <f aca="false">SUMIFS(Pareado!$M$2:$M$65,Pareado!$F$2:$F$65,"Limpo",Pareado!$C$2:$C$65,"Widget",Pareado!$D$2:$D$65,"ZS")</f>
        <v>6</v>
      </c>
      <c r="J8" s="4" t="n">
        <f aca="false">COUNTIFS(Pareado!$F$2:$F$65,"Limpo",Pareado!$C$2:$C$65,"Widget",Pareado!$D$2:$D$65,"ZS",Pareado!$M$2:$M$65,3)</f>
        <v>1</v>
      </c>
      <c r="K8" s="4" t="n">
        <f aca="false">COUNTIFS(Pareado!$F$2:$F$65,"Limpo",Pareado!$C$2:$C$65,"Widget",Pareado!$D$2:$D$65,"ZS",Pareado!$O$2:$O$65,"&lt;&gt;executa")</f>
        <v>0</v>
      </c>
      <c r="L8" s="4" t="n">
        <f aca="false">COUNTIFS(Pareado!$F$2:$F$65,"Limpo",Pareado!$C$2:$C$65,"Widget",Pareado!$D$2:$D$65,"ZS",Pareado!$P$2:$P$65,"Sim")</f>
        <v>1</v>
      </c>
      <c r="M8" s="4" t="n">
        <f aca="false">SUMIFS(Pareado!$S$2:$S$65,Pareado!$F$2:$F$65,"Limpo",Pareado!$C$2:$C$65,"Widget",Pareado!$D$2:$D$65,"ZS")</f>
        <v>19</v>
      </c>
      <c r="N8" s="4" t="n">
        <f aca="false">SUMIFS(Pareado!$T$2:$T$65,Pareado!$F$2:$F$65,"Limpo",Pareado!$C$2:$C$65,"Widget",Pareado!$D$2:$D$65,"ZS")</f>
        <v>19</v>
      </c>
      <c r="O8" s="5" t="n">
        <f aca="false">IFERROR(N8/(N8+SUMIFS(Pareado!$U$2:$U$65,Pareado!$F$2:$F$65,"Limpo",Pareado!$C$2:$C$65,"Widget",Pareado!$D$2:$D$65,"ZS",Pareado!$Y$2:$Y$65,"executa")),0)</f>
        <v>1</v>
      </c>
      <c r="P8" s="4" t="n">
        <f aca="false">COUNTIFS(Pareado!$F$2:$F$65,"Limpo",Pareado!$C$2:$C$65,"Widget",Pareado!$D$2:$D$65,"ZS",Pareado!$V$2:$V$65,1)</f>
        <v>3</v>
      </c>
      <c r="Q8" s="4" t="n">
        <f aca="false">SUMIFS(Pareado!$W$2:$W$65,Pareado!$F$2:$F$65,"Limpo",Pareado!$C$2:$C$65,"Widget",Pareado!$D$2:$D$65,"ZS")</f>
        <v>5</v>
      </c>
      <c r="R8" s="4" t="n">
        <f aca="false">COUNTIFS(Pareado!$F$2:$F$65,"Limpo",Pareado!$C$2:$C$65,"Widget",Pareado!$D$2:$D$65,"ZS",Pareado!$W$2:$W$65,3)</f>
        <v>1</v>
      </c>
      <c r="S8" s="4" t="n">
        <f aca="false">COUNTIFS(Pareado!$F$2:$F$65,"Limpo",Pareado!$C$2:$C$65,"Widget",Pareado!$D$2:$D$65,"ZS",Pareado!$Y$2:$Y$65,"&lt;&gt;executa")</f>
        <v>0</v>
      </c>
      <c r="T8" s="4" t="n">
        <f aca="false">SUMIFS(Pareado!$AA$2:$AA$65,Pareado!$F$2:$F$65,"Limpo",Pareado!$C$2:$C$65,"Widget",Pareado!$D$2:$D$65,"ZS")</f>
        <v>0</v>
      </c>
      <c r="U8" s="4" t="n">
        <f aca="false">COUNTIFS(Pareado!$F$2:$F$65,"Limpo",Pareado!$C$2:$C$65,"Widget",Pareado!$D$2:$D$65,"ZS",Pareado!$AF$2:$AF$65,"ChatGPT")</f>
        <v>3</v>
      </c>
      <c r="V8" s="4" t="n">
        <f aca="false">COUNTIFS(Pareado!$F$2:$F$65,"Limpo",Pareado!$C$2:$C$65,"Widget",Pareado!$D$2:$D$65,"ZS",Pareado!$AF$2:$AF$65,"empate")</f>
        <v>0</v>
      </c>
      <c r="W8" s="4" t="n">
        <f aca="false">COUNTIFS(Pareado!$F$2:$F$65,"Limpo",Pareado!$C$2:$C$65,"Widget",Pareado!$D$2:$D$65,"ZS",Pareado!$AF$2:$AF$65,"Gemini")</f>
        <v>0</v>
      </c>
      <c r="X8" s="4" t="n">
        <f aca="false">COUNTIFS(Pareado!$F$2:$F$65,"Limpo",Pareado!$C$2:$C$65,"Widget",Pareado!$D$2:$D$65,"ZS",Pareado!$AG$2:$AG$65,"ChatGPT")</f>
        <v>0</v>
      </c>
      <c r="Y8" s="4" t="n">
        <f aca="false">COUNTIFS(Pareado!$F$2:$F$65,"Limpo",Pareado!$C$2:$C$65,"Widget",Pareado!$D$2:$D$65,"ZS",Pareado!$AG$2:$AG$65,"empate")</f>
        <v>1</v>
      </c>
      <c r="Z8" s="4" t="n">
        <f aca="false">COUNTIFS(Pareado!$F$2:$F$65,"Limpo",Pareado!$C$2:$C$65,"Widget",Pareado!$D$2:$D$65,"ZS",Pareado!$AG$2:$AG$65,"Gemini")</f>
        <v>2</v>
      </c>
    </row>
    <row r="9" customFormat="false" ht="15" hidden="false" customHeight="false" outlineLevel="0" collapsed="false">
      <c r="A9" s="4" t="s">
        <v>111</v>
      </c>
      <c r="B9" s="4" t="s">
        <v>68</v>
      </c>
      <c r="C9" s="4" t="s">
        <v>56</v>
      </c>
      <c r="D9" s="4" t="n">
        <f aca="false">COUNTIFS(Pareado!$F$2:$F$65,"Limpo",Pareado!$C$2:$C$65,"Widget",Pareado!$D$2:$D$65,"FS")</f>
        <v>3</v>
      </c>
      <c r="E9" s="4" t="n">
        <f aca="false">SUMIFS(Pareado!$I$2:$I$65,Pareado!$F$2:$F$65,"Limpo",Pareado!$C$2:$C$65,"Widget",Pareado!$D$2:$D$65,"FS")</f>
        <v>48</v>
      </c>
      <c r="F9" s="4" t="n">
        <f aca="false">SUMIFS(Pareado!$J$2:$J$65,Pareado!$F$2:$F$65,"Limpo",Pareado!$C$2:$C$65,"Widget",Pareado!$D$2:$D$65,"FS")</f>
        <v>39</v>
      </c>
      <c r="G9" s="5" t="n">
        <f aca="false">IFERROR(F9/(F9+SUMIFS(Pareado!$K$2:$K$65,Pareado!$F$2:$F$65,"Limpo",Pareado!$C$2:$C$65,"Widget",Pareado!$D$2:$D$65,"FS",Pareado!$O$2:$O$65,"executa")),0)</f>
        <v>0.8125</v>
      </c>
      <c r="H9" s="4" t="n">
        <f aca="false">COUNTIFS(Pareado!$F$2:$F$65,"Limpo",Pareado!$C$2:$C$65,"Widget",Pareado!$D$2:$D$65,"FS",Pareado!$L$2:$L$65,1)</f>
        <v>0</v>
      </c>
      <c r="I9" s="4" t="n">
        <f aca="false">SUMIFS(Pareado!$M$2:$M$65,Pareado!$F$2:$F$65,"Limpo",Pareado!$C$2:$C$65,"Widget",Pareado!$D$2:$D$65,"FS")</f>
        <v>9</v>
      </c>
      <c r="J9" s="4" t="n">
        <f aca="false">COUNTIFS(Pareado!$F$2:$F$65,"Limpo",Pareado!$C$2:$C$65,"Widget",Pareado!$D$2:$D$65,"FS",Pareado!$M$2:$M$65,3)</f>
        <v>3</v>
      </c>
      <c r="K9" s="4" t="n">
        <f aca="false">COUNTIFS(Pareado!$F$2:$F$65,"Limpo",Pareado!$C$2:$C$65,"Widget",Pareado!$D$2:$D$65,"FS",Pareado!$O$2:$O$65,"&lt;&gt;executa")</f>
        <v>0</v>
      </c>
      <c r="L9" s="4" t="n">
        <f aca="false">COUNTIFS(Pareado!$F$2:$F$65,"Limpo",Pareado!$C$2:$C$65,"Widget",Pareado!$D$2:$D$65,"FS",Pareado!$P$2:$P$65,"Sim")</f>
        <v>0</v>
      </c>
      <c r="M9" s="4" t="n">
        <f aca="false">SUMIFS(Pareado!$S$2:$S$65,Pareado!$F$2:$F$65,"Limpo",Pareado!$C$2:$C$65,"Widget",Pareado!$D$2:$D$65,"FS")</f>
        <v>21</v>
      </c>
      <c r="N9" s="4" t="n">
        <f aca="false">SUMIFS(Pareado!$T$2:$T$65,Pareado!$F$2:$F$65,"Limpo",Pareado!$C$2:$C$65,"Widget",Pareado!$D$2:$D$65,"FS")</f>
        <v>21</v>
      </c>
      <c r="O9" s="5" t="n">
        <f aca="false">IFERROR(N9/(N9+SUMIFS(Pareado!$U$2:$U$65,Pareado!$F$2:$F$65,"Limpo",Pareado!$C$2:$C$65,"Widget",Pareado!$D$2:$D$65,"FS",Pareado!$Y$2:$Y$65,"executa")),0)</f>
        <v>1</v>
      </c>
      <c r="P9" s="4" t="n">
        <f aca="false">COUNTIFS(Pareado!$F$2:$F$65,"Limpo",Pareado!$C$2:$C$65,"Widget",Pareado!$D$2:$D$65,"FS",Pareado!$V$2:$V$65,1)</f>
        <v>3</v>
      </c>
      <c r="Q9" s="4" t="n">
        <f aca="false">SUMIFS(Pareado!$W$2:$W$65,Pareado!$F$2:$F$65,"Limpo",Pareado!$C$2:$C$65,"Widget",Pareado!$D$2:$D$65,"FS")</f>
        <v>3</v>
      </c>
      <c r="R9" s="4" t="n">
        <f aca="false">COUNTIFS(Pareado!$F$2:$F$65,"Limpo",Pareado!$C$2:$C$65,"Widget",Pareado!$D$2:$D$65,"FS",Pareado!$W$2:$W$65,3)</f>
        <v>0</v>
      </c>
      <c r="S9" s="4" t="n">
        <f aca="false">COUNTIFS(Pareado!$F$2:$F$65,"Limpo",Pareado!$C$2:$C$65,"Widget",Pareado!$D$2:$D$65,"FS",Pareado!$Y$2:$Y$65,"&lt;&gt;executa")</f>
        <v>0</v>
      </c>
      <c r="T9" s="4" t="n">
        <f aca="false">SUMIFS(Pareado!$AA$2:$AA$65,Pareado!$F$2:$F$65,"Limpo",Pareado!$C$2:$C$65,"Widget",Pareado!$D$2:$D$65,"FS")</f>
        <v>3</v>
      </c>
      <c r="U9" s="4" t="n">
        <f aca="false">COUNTIFS(Pareado!$F$2:$F$65,"Limpo",Pareado!$C$2:$C$65,"Widget",Pareado!$D$2:$D$65,"FS",Pareado!$AF$2:$AF$65,"ChatGPT")</f>
        <v>3</v>
      </c>
      <c r="V9" s="4" t="n">
        <f aca="false">COUNTIFS(Pareado!$F$2:$F$65,"Limpo",Pareado!$C$2:$C$65,"Widget",Pareado!$D$2:$D$65,"FS",Pareado!$AF$2:$AF$65,"empate")</f>
        <v>0</v>
      </c>
      <c r="W9" s="4" t="n">
        <f aca="false">COUNTIFS(Pareado!$F$2:$F$65,"Limpo",Pareado!$C$2:$C$65,"Widget",Pareado!$D$2:$D$65,"FS",Pareado!$AF$2:$AF$65,"Gemini")</f>
        <v>0</v>
      </c>
      <c r="X9" s="4" t="n">
        <f aca="false">COUNTIFS(Pareado!$F$2:$F$65,"Limpo",Pareado!$C$2:$C$65,"Widget",Pareado!$D$2:$D$65,"FS",Pareado!$AG$2:$AG$65,"ChatGPT")</f>
        <v>0</v>
      </c>
      <c r="Y9" s="4" t="n">
        <f aca="false">COUNTIFS(Pareado!$F$2:$F$65,"Limpo",Pareado!$C$2:$C$65,"Widget",Pareado!$D$2:$D$65,"FS",Pareado!$AG$2:$AG$65,"empate")</f>
        <v>0</v>
      </c>
      <c r="Z9" s="4" t="n">
        <f aca="false">COUNTIFS(Pareado!$F$2:$F$65,"Limpo",Pareado!$C$2:$C$65,"Widget",Pareado!$D$2:$D$65,"FS",Pareado!$AG$2:$AG$65,"Gemini")</f>
        <v>3</v>
      </c>
    </row>
    <row r="10" customFormat="false" ht="15" hidden="false" customHeight="false" outlineLevel="0" collapsed="false">
      <c r="A10" s="4" t="s">
        <v>111</v>
      </c>
      <c r="B10" s="4" t="s">
        <v>68</v>
      </c>
      <c r="C10" s="4" t="s">
        <v>61</v>
      </c>
      <c r="D10" s="4" t="n">
        <f aca="false">COUNTIFS(Pareado!$F$2:$F$65,"Limpo",Pareado!$C$2:$C$65,"Widget",Pareado!$D$2:$D$65,"COT")</f>
        <v>3</v>
      </c>
      <c r="E10" s="4" t="n">
        <f aca="false">SUMIFS(Pareado!$I$2:$I$65,Pareado!$F$2:$F$65,"Limpo",Pareado!$C$2:$C$65,"Widget",Pareado!$D$2:$D$65,"COT")</f>
        <v>62</v>
      </c>
      <c r="F10" s="4" t="n">
        <f aca="false">SUMIFS(Pareado!$J$2:$J$65,Pareado!$F$2:$F$65,"Limpo",Pareado!$C$2:$C$65,"Widget",Pareado!$D$2:$D$65,"COT")</f>
        <v>34</v>
      </c>
      <c r="G10" s="5" t="n">
        <f aca="false">IFERROR(F10/(F10+SUMIFS(Pareado!$K$2:$K$65,Pareado!$F$2:$F$65,"Limpo",Pareado!$C$2:$C$65,"Widget",Pareado!$D$2:$D$65,"COT",Pareado!$O$2:$O$65,"executa")),0)</f>
        <v>0.918918918918919</v>
      </c>
      <c r="H10" s="4" t="n">
        <f aca="false">COUNTIFS(Pareado!$F$2:$F$65,"Limpo",Pareado!$C$2:$C$65,"Widget",Pareado!$D$2:$D$65,"COT",Pareado!$L$2:$L$65,1)</f>
        <v>1</v>
      </c>
      <c r="I10" s="4" t="n">
        <f aca="false">SUMIFS(Pareado!$M$2:$M$65,Pareado!$F$2:$F$65,"Limpo",Pareado!$C$2:$C$65,"Widget",Pareado!$D$2:$D$65,"COT")</f>
        <v>9</v>
      </c>
      <c r="J10" s="4" t="n">
        <f aca="false">COUNTIFS(Pareado!$F$2:$F$65,"Limpo",Pareado!$C$2:$C$65,"Widget",Pareado!$D$2:$D$65,"COT",Pareado!$M$2:$M$65,3)</f>
        <v>3</v>
      </c>
      <c r="K10" s="4" t="n">
        <f aca="false">COUNTIFS(Pareado!$F$2:$F$65,"Limpo",Pareado!$C$2:$C$65,"Widget",Pareado!$D$2:$D$65,"COT",Pareado!$O$2:$O$65,"&lt;&gt;executa")</f>
        <v>1</v>
      </c>
      <c r="L10" s="4" t="n">
        <f aca="false">COUNTIFS(Pareado!$F$2:$F$65,"Limpo",Pareado!$C$2:$C$65,"Widget",Pareado!$D$2:$D$65,"COT",Pareado!$P$2:$P$65,"Sim")</f>
        <v>1</v>
      </c>
      <c r="M10" s="4" t="n">
        <f aca="false">SUMIFS(Pareado!$S$2:$S$65,Pareado!$F$2:$F$65,"Limpo",Pareado!$C$2:$C$65,"Widget",Pareado!$D$2:$D$65,"COT")</f>
        <v>31</v>
      </c>
      <c r="N10" s="4" t="n">
        <f aca="false">SUMIFS(Pareado!$T$2:$T$65,Pareado!$F$2:$F$65,"Limpo",Pareado!$C$2:$C$65,"Widget",Pareado!$D$2:$D$65,"COT")</f>
        <v>15</v>
      </c>
      <c r="O10" s="5" t="n">
        <f aca="false">IFERROR(N10/(N10+SUMIFS(Pareado!$U$2:$U$65,Pareado!$F$2:$F$65,"Limpo",Pareado!$C$2:$C$65,"Widget",Pareado!$D$2:$D$65,"COT",Pareado!$Y$2:$Y$65,"executa")),0)</f>
        <v>0.483870967741936</v>
      </c>
      <c r="P10" s="4" t="n">
        <f aca="false">COUNTIFS(Pareado!$F$2:$F$65,"Limpo",Pareado!$C$2:$C$65,"Widget",Pareado!$D$2:$D$65,"COT",Pareado!$V$2:$V$65,1)</f>
        <v>0</v>
      </c>
      <c r="Q10" s="4" t="n">
        <f aca="false">SUMIFS(Pareado!$W$2:$W$65,Pareado!$F$2:$F$65,"Limpo",Pareado!$C$2:$C$65,"Widget",Pareado!$D$2:$D$65,"COT")</f>
        <v>9</v>
      </c>
      <c r="R10" s="4" t="n">
        <f aca="false">COUNTIFS(Pareado!$F$2:$F$65,"Limpo",Pareado!$C$2:$C$65,"Widget",Pareado!$D$2:$D$65,"COT",Pareado!$W$2:$W$65,3)</f>
        <v>3</v>
      </c>
      <c r="S10" s="4" t="n">
        <f aca="false">COUNTIFS(Pareado!$F$2:$F$65,"Limpo",Pareado!$C$2:$C$65,"Widget",Pareado!$D$2:$D$65,"COT",Pareado!$Y$2:$Y$65,"&lt;&gt;executa")</f>
        <v>0</v>
      </c>
      <c r="T10" s="4" t="n">
        <f aca="false">SUMIFS(Pareado!$AA$2:$AA$65,Pareado!$F$2:$F$65,"Limpo",Pareado!$C$2:$C$65,"Widget",Pareado!$D$2:$D$65,"COT")</f>
        <v>3</v>
      </c>
      <c r="U10" s="4" t="n">
        <f aca="false">COUNTIFS(Pareado!$F$2:$F$65,"Limpo",Pareado!$C$2:$C$65,"Widget",Pareado!$D$2:$D$65,"COT",Pareado!$AF$2:$AF$65,"ChatGPT")</f>
        <v>3</v>
      </c>
      <c r="V10" s="4" t="n">
        <f aca="false">COUNTIFS(Pareado!$F$2:$F$65,"Limpo",Pareado!$C$2:$C$65,"Widget",Pareado!$D$2:$D$65,"COT",Pareado!$AF$2:$AF$65,"empate")</f>
        <v>0</v>
      </c>
      <c r="W10" s="4" t="n">
        <f aca="false">COUNTIFS(Pareado!$F$2:$F$65,"Limpo",Pareado!$C$2:$C$65,"Widget",Pareado!$D$2:$D$65,"COT",Pareado!$AF$2:$AF$65,"Gemini")</f>
        <v>0</v>
      </c>
      <c r="X10" s="4" t="n">
        <f aca="false">COUNTIFS(Pareado!$F$2:$F$65,"Limpo",Pareado!$C$2:$C$65,"Widget",Pareado!$D$2:$D$65,"COT",Pareado!$AG$2:$AG$65,"ChatGPT")</f>
        <v>1</v>
      </c>
      <c r="Y10" s="4" t="n">
        <f aca="false">COUNTIFS(Pareado!$F$2:$F$65,"Limpo",Pareado!$C$2:$C$65,"Widget",Pareado!$D$2:$D$65,"COT",Pareado!$AG$2:$AG$65,"empate")</f>
        <v>1</v>
      </c>
      <c r="Z10" s="4" t="n">
        <f aca="false">COUNTIFS(Pareado!$F$2:$F$65,"Limpo",Pareado!$C$2:$C$65,"Widget",Pareado!$D$2:$D$65,"COT",Pareado!$AG$2:$AG$65,"Gemini")</f>
        <v>1</v>
      </c>
    </row>
    <row r="11" customFormat="false" ht="15" hidden="false" customHeight="false" outlineLevel="0" collapsed="false">
      <c r="A11" s="7" t="s">
        <v>111</v>
      </c>
      <c r="B11" s="7" t="s">
        <v>68</v>
      </c>
      <c r="C11" s="7" t="s">
        <v>206</v>
      </c>
      <c r="D11" s="7" t="n">
        <f aca="false">COUNTIFS(Pareado!$F$2:$F$65,"Limpo",Pareado!$C$2:$C$65,"Widget")</f>
        <v>9</v>
      </c>
      <c r="E11" s="7" t="n">
        <f aca="false">SUMIFS(Pareado!$I$2:$I$65,Pareado!$F$2:$F$65,"Limpo",Pareado!$C$2:$C$65,"Widget")</f>
        <v>152</v>
      </c>
      <c r="F11" s="7" t="n">
        <f aca="false">SUMIFS(Pareado!$J$2:$J$65,Pareado!$F$2:$F$65,"Limpo",Pareado!$C$2:$C$65,"Widget")</f>
        <v>113</v>
      </c>
      <c r="G11" s="8" t="n">
        <f aca="false">IFERROR(F11/(F11+SUMIFS(Pareado!$K$2:$K$65,Pareado!$F$2:$F$65,"Limpo",Pareado!$C$2:$C$65,"Widget",Pareado!$O$2:$O$65,"executa")),0)</f>
        <v>0.889763779527559</v>
      </c>
      <c r="H11" s="7" t="n">
        <f aca="false">COUNTIFS(Pareado!$F$2:$F$65,"Limpo",Pareado!$C$2:$C$65,"Widget",Pareado!$L$2:$L$65,1)</f>
        <v>2</v>
      </c>
      <c r="I11" s="7" t="n">
        <f aca="false">SUMIFS(Pareado!$M$2:$M$65,Pareado!$F$2:$F$65,"Limpo",Pareado!$C$2:$C$65,"Widget")</f>
        <v>24</v>
      </c>
      <c r="J11" s="7" t="n">
        <f aca="false">COUNTIFS(Pareado!$F$2:$F$65,"Limpo",Pareado!$C$2:$C$65,"Widget",Pareado!$M$2:$M$65,3)</f>
        <v>7</v>
      </c>
      <c r="K11" s="7" t="n">
        <f aca="false">COUNTIFS(Pareado!$F$2:$F$65,"Limpo",Pareado!$C$2:$C$65,"Widget",Pareado!$O$2:$O$65,"&lt;&gt;executa")</f>
        <v>1</v>
      </c>
      <c r="L11" s="7" t="n">
        <f aca="false">COUNTIFS(Pareado!$F$2:$F$65,"Limpo",Pareado!$C$2:$C$65,"Widget",Pareado!$P$2:$P$65,"Sim")</f>
        <v>2</v>
      </c>
      <c r="M11" s="7" t="n">
        <f aca="false">SUMIFS(Pareado!$S$2:$S$65,Pareado!$F$2:$F$65,"Limpo",Pareado!$C$2:$C$65,"Widget")</f>
        <v>71</v>
      </c>
      <c r="N11" s="7" t="n">
        <f aca="false">SUMIFS(Pareado!$T$2:$T$65,Pareado!$F$2:$F$65,"Limpo",Pareado!$C$2:$C$65,"Widget")</f>
        <v>55</v>
      </c>
      <c r="O11" s="8" t="n">
        <f aca="false">IFERROR(N11/(N11+SUMIFS(Pareado!$U$2:$U$65,Pareado!$F$2:$F$65,"Limpo",Pareado!$C$2:$C$65,"Widget",Pareado!$Y$2:$Y$65,"executa")),0)</f>
        <v>0.774647887323944</v>
      </c>
      <c r="P11" s="7" t="n">
        <f aca="false">COUNTIFS(Pareado!$F$2:$F$65,"Limpo",Pareado!$C$2:$C$65,"Widget",Pareado!$V$2:$V$65,1)</f>
        <v>6</v>
      </c>
      <c r="Q11" s="7" t="n">
        <f aca="false">SUMIFS(Pareado!$W$2:$W$65,Pareado!$F$2:$F$65,"Limpo",Pareado!$C$2:$C$65,"Widget")</f>
        <v>17</v>
      </c>
      <c r="R11" s="7" t="n">
        <f aca="false">COUNTIFS(Pareado!$F$2:$F$65,"Limpo",Pareado!$C$2:$C$65,"Widget",Pareado!$W$2:$W$65,3)</f>
        <v>4</v>
      </c>
      <c r="S11" s="7" t="n">
        <f aca="false">COUNTIFS(Pareado!$F$2:$F$65,"Limpo",Pareado!$C$2:$C$65,"Widget",Pareado!$Y$2:$Y$65,"&lt;&gt;executa")</f>
        <v>0</v>
      </c>
      <c r="T11" s="7" t="n">
        <f aca="false">SUMIFS(Pareado!$AA$2:$AA$65,Pareado!$F$2:$F$65,"Limpo",Pareado!$C$2:$C$65,"Widget")</f>
        <v>6</v>
      </c>
      <c r="U11" s="7" t="n">
        <f aca="false">COUNTIFS(Pareado!$F$2:$F$65,"Limpo",Pareado!$C$2:$C$65,"Widget",Pareado!$AF$2:$AF$65,"ChatGPT")</f>
        <v>9</v>
      </c>
      <c r="V11" s="7" t="n">
        <f aca="false">COUNTIFS(Pareado!$F$2:$F$65,"Limpo",Pareado!$C$2:$C$65,"Widget",Pareado!$AF$2:$AF$65,"empate")</f>
        <v>0</v>
      </c>
      <c r="W11" s="7" t="n">
        <f aca="false">COUNTIFS(Pareado!$F$2:$F$65,"Limpo",Pareado!$C$2:$C$65,"Widget",Pareado!$AF$2:$AF$65,"Gemini")</f>
        <v>0</v>
      </c>
      <c r="X11" s="7" t="n">
        <f aca="false">COUNTIFS(Pareado!$F$2:$F$65,"Limpo",Pareado!$C$2:$C$65,"Widget",Pareado!$AG$2:$AG$65,"ChatGPT")</f>
        <v>1</v>
      </c>
      <c r="Y11" s="7" t="n">
        <f aca="false">COUNTIFS(Pareado!$F$2:$F$65,"Limpo",Pareado!$C$2:$C$65,"Widget",Pareado!$AG$2:$AG$65,"empate")</f>
        <v>2</v>
      </c>
      <c r="Z11" s="7" t="n">
        <f aca="false">COUNTIFS(Pareado!$F$2:$F$65,"Limpo",Pareado!$C$2:$C$65,"Widget",Pareado!$AG$2:$AG$65,"Gemini")</f>
        <v>6</v>
      </c>
    </row>
    <row r="12" customFormat="false" ht="15" hidden="false" customHeight="false" outlineLevel="0" collapsed="false">
      <c r="A12" s="4" t="s">
        <v>111</v>
      </c>
      <c r="B12" s="4" t="s">
        <v>91</v>
      </c>
      <c r="C12" s="4" t="s">
        <v>45</v>
      </c>
      <c r="D12" s="4" t="n">
        <f aca="false">COUNTIFS(Pareado!$F$2:$F$65,"Limpo",Pareado!$C$2:$C$65,"Integração",Pareado!$D$2:$D$65,"ZS")</f>
        <v>3</v>
      </c>
      <c r="E12" s="4" t="n">
        <f aca="false">SUMIFS(Pareado!$I$2:$I$65,Pareado!$F$2:$F$65,"Limpo",Pareado!$C$2:$C$65,"Integração",Pareado!$D$2:$D$65,"ZS")</f>
        <v>14</v>
      </c>
      <c r="F12" s="4" t="n">
        <f aca="false">SUMIFS(Pareado!$J$2:$J$65,Pareado!$F$2:$F$65,"Limpo",Pareado!$C$2:$C$65,"Integração",Pareado!$D$2:$D$65,"ZS")</f>
        <v>11</v>
      </c>
      <c r="G12" s="5" t="n">
        <f aca="false">IFERROR(F12/(F12+SUMIFS(Pareado!$K$2:$K$65,Pareado!$F$2:$F$65,"Limpo",Pareado!$C$2:$C$65,"Integração",Pareado!$D$2:$D$65,"ZS",Pareado!$O$2:$O$65,"executa")),0)</f>
        <v>0.785714285714286</v>
      </c>
      <c r="H12" s="4" t="n">
        <f aca="false">COUNTIFS(Pareado!$F$2:$F$65,"Limpo",Pareado!$C$2:$C$65,"Integração",Pareado!$D$2:$D$65,"ZS",Pareado!$L$2:$L$65,1)</f>
        <v>1</v>
      </c>
      <c r="I12" s="4" t="n">
        <f aca="false">SUMIFS(Pareado!$M$2:$M$65,Pareado!$F$2:$F$65,"Limpo",Pareado!$C$2:$C$65,"Integração",Pareado!$D$2:$D$65,"ZS")</f>
        <v>6</v>
      </c>
      <c r="J12" s="4" t="n">
        <f aca="false">COUNTIFS(Pareado!$F$2:$F$65,"Limpo",Pareado!$C$2:$C$65,"Integração",Pareado!$D$2:$D$65,"ZS",Pareado!$M$2:$M$65,3)</f>
        <v>2</v>
      </c>
      <c r="K12" s="4" t="n">
        <f aca="false">COUNTIFS(Pareado!$F$2:$F$65,"Limpo",Pareado!$C$2:$C$65,"Integração",Pareado!$D$2:$D$65,"ZS",Pareado!$O$2:$O$65,"&lt;&gt;executa")</f>
        <v>0</v>
      </c>
      <c r="L12" s="4" t="n">
        <f aca="false">COUNTIFS(Pareado!$F$2:$F$65,"Limpo",Pareado!$C$2:$C$65,"Integração",Pareado!$D$2:$D$65,"ZS",Pareado!$P$2:$P$65,"Sim")</f>
        <v>0</v>
      </c>
      <c r="M12" s="4" t="n">
        <f aca="false">SUMIFS(Pareado!$S$2:$S$65,Pareado!$F$2:$F$65,"Limpo",Pareado!$C$2:$C$65,"Integração",Pareado!$D$2:$D$65,"ZS")</f>
        <v>14</v>
      </c>
      <c r="N12" s="4" t="n">
        <f aca="false">SUMIFS(Pareado!$T$2:$T$65,Pareado!$F$2:$F$65,"Limpo",Pareado!$C$2:$C$65,"Integração",Pareado!$D$2:$D$65,"ZS")</f>
        <v>9</v>
      </c>
      <c r="O12" s="5" t="n">
        <f aca="false">IFERROR(N12/(N12+SUMIFS(Pareado!$U$2:$U$65,Pareado!$F$2:$F$65,"Limpo",Pareado!$C$2:$C$65,"Integração",Pareado!$D$2:$D$65,"ZS",Pareado!$Y$2:$Y$65,"executa")),0)</f>
        <v>0.9</v>
      </c>
      <c r="P12" s="4" t="n">
        <f aca="false">COUNTIFS(Pareado!$F$2:$F$65,"Limpo",Pareado!$C$2:$C$65,"Integração",Pareado!$D$2:$D$65,"ZS",Pareado!$V$2:$V$65,1)</f>
        <v>1</v>
      </c>
      <c r="Q12" s="4" t="n">
        <f aca="false">SUMIFS(Pareado!$W$2:$W$65,Pareado!$F$2:$F$65,"Limpo",Pareado!$C$2:$C$65,"Integração",Pareado!$D$2:$D$65,"ZS")</f>
        <v>6</v>
      </c>
      <c r="R12" s="4" t="n">
        <f aca="false">COUNTIFS(Pareado!$F$2:$F$65,"Limpo",Pareado!$C$2:$C$65,"Integração",Pareado!$D$2:$D$65,"ZS",Pareado!$W$2:$W$65,3)</f>
        <v>2</v>
      </c>
      <c r="S12" s="4" t="n">
        <f aca="false">COUNTIFS(Pareado!$F$2:$F$65,"Limpo",Pareado!$C$2:$C$65,"Integração",Pareado!$D$2:$D$65,"ZS",Pareado!$Y$2:$Y$65,"&lt;&gt;executa")</f>
        <v>1</v>
      </c>
      <c r="T12" s="4" t="n">
        <f aca="false">SUMIFS(Pareado!$AA$2:$AA$65,Pareado!$F$2:$F$65,"Limpo",Pareado!$C$2:$C$65,"Integração",Pareado!$D$2:$D$65,"ZS")</f>
        <v>0</v>
      </c>
      <c r="U12" s="4" t="n">
        <f aca="false">COUNTIFS(Pareado!$F$2:$F$65,"Limpo",Pareado!$C$2:$C$65,"Integração",Pareado!$D$2:$D$65,"ZS",Pareado!$AF$2:$AF$65,"ChatGPT")</f>
        <v>1</v>
      </c>
      <c r="V12" s="4" t="n">
        <f aca="false">COUNTIFS(Pareado!$F$2:$F$65,"Limpo",Pareado!$C$2:$C$65,"Integração",Pareado!$D$2:$D$65,"ZS",Pareado!$AF$2:$AF$65,"empate")</f>
        <v>1</v>
      </c>
      <c r="W12" s="4" t="n">
        <f aca="false">COUNTIFS(Pareado!$F$2:$F$65,"Limpo",Pareado!$C$2:$C$65,"Integração",Pareado!$D$2:$D$65,"ZS",Pareado!$AF$2:$AF$65,"Gemini")</f>
        <v>1</v>
      </c>
      <c r="X12" s="4" t="n">
        <f aca="false">COUNTIFS(Pareado!$F$2:$F$65,"Limpo",Pareado!$C$2:$C$65,"Integração",Pareado!$D$2:$D$65,"ZS",Pareado!$AG$2:$AG$65,"ChatGPT")</f>
        <v>2</v>
      </c>
      <c r="Y12" s="4" t="n">
        <f aca="false">COUNTIFS(Pareado!$F$2:$F$65,"Limpo",Pareado!$C$2:$C$65,"Integração",Pareado!$D$2:$D$65,"ZS",Pareado!$AG$2:$AG$65,"empate")</f>
        <v>1</v>
      </c>
      <c r="Z12" s="4" t="n">
        <f aca="false">COUNTIFS(Pareado!$F$2:$F$65,"Limpo",Pareado!$C$2:$C$65,"Integração",Pareado!$D$2:$D$65,"ZS",Pareado!$AG$2:$AG$65,"Gemini")</f>
        <v>0</v>
      </c>
    </row>
    <row r="13" customFormat="false" ht="15" hidden="false" customHeight="false" outlineLevel="0" collapsed="false">
      <c r="A13" s="4" t="s">
        <v>111</v>
      </c>
      <c r="B13" s="4" t="s">
        <v>91</v>
      </c>
      <c r="C13" s="4" t="s">
        <v>56</v>
      </c>
      <c r="D13" s="4" t="n">
        <f aca="false">COUNTIFS(Pareado!$F$2:$F$65,"Limpo",Pareado!$C$2:$C$65,"Integração",Pareado!$D$2:$D$65,"FS")</f>
        <v>3</v>
      </c>
      <c r="E13" s="4" t="n">
        <f aca="false">SUMIFS(Pareado!$I$2:$I$65,Pareado!$F$2:$F$65,"Limpo",Pareado!$C$2:$C$65,"Integração",Pareado!$D$2:$D$65,"FS")</f>
        <v>11</v>
      </c>
      <c r="F13" s="4" t="n">
        <f aca="false">SUMIFS(Pareado!$J$2:$J$65,Pareado!$F$2:$F$65,"Limpo",Pareado!$C$2:$C$65,"Integração",Pareado!$D$2:$D$65,"FS")</f>
        <v>8</v>
      </c>
      <c r="G13" s="5" t="n">
        <f aca="false">IFERROR(F13/(F13+SUMIFS(Pareado!$K$2:$K$65,Pareado!$F$2:$F$65,"Limpo",Pareado!$C$2:$C$65,"Integração",Pareado!$D$2:$D$65,"FS",Pareado!$O$2:$O$65,"executa")),0)</f>
        <v>0.727272727272727</v>
      </c>
      <c r="H13" s="4" t="n">
        <f aca="false">COUNTIFS(Pareado!$F$2:$F$65,"Limpo",Pareado!$C$2:$C$65,"Integração",Pareado!$D$2:$D$65,"FS",Pareado!$L$2:$L$65,1)</f>
        <v>1</v>
      </c>
      <c r="I13" s="4" t="n">
        <f aca="false">SUMIFS(Pareado!$M$2:$M$65,Pareado!$F$2:$F$65,"Limpo",Pareado!$C$2:$C$65,"Integração",Pareado!$D$2:$D$65,"FS")</f>
        <v>7</v>
      </c>
      <c r="J13" s="4" t="n">
        <f aca="false">COUNTIFS(Pareado!$F$2:$F$65,"Limpo",Pareado!$C$2:$C$65,"Integração",Pareado!$D$2:$D$65,"FS",Pareado!$M$2:$M$65,3)</f>
        <v>2</v>
      </c>
      <c r="K13" s="4" t="n">
        <f aca="false">COUNTIFS(Pareado!$F$2:$F$65,"Limpo",Pareado!$C$2:$C$65,"Integração",Pareado!$D$2:$D$65,"FS",Pareado!$O$2:$O$65,"&lt;&gt;executa")</f>
        <v>0</v>
      </c>
      <c r="L13" s="4" t="n">
        <f aca="false">COUNTIFS(Pareado!$F$2:$F$65,"Limpo",Pareado!$C$2:$C$65,"Integração",Pareado!$D$2:$D$65,"FS",Pareado!$P$2:$P$65,"Sim")</f>
        <v>1</v>
      </c>
      <c r="M13" s="4" t="n">
        <f aca="false">SUMIFS(Pareado!$S$2:$S$65,Pareado!$F$2:$F$65,"Limpo",Pareado!$C$2:$C$65,"Integração",Pareado!$D$2:$D$65,"FS")</f>
        <v>8</v>
      </c>
      <c r="N13" s="4" t="n">
        <f aca="false">SUMIFS(Pareado!$T$2:$T$65,Pareado!$F$2:$F$65,"Limpo",Pareado!$C$2:$C$65,"Integração",Pareado!$D$2:$D$65,"FS")</f>
        <v>3</v>
      </c>
      <c r="O13" s="5" t="n">
        <f aca="false">IFERROR(N13/(N13+SUMIFS(Pareado!$U$2:$U$65,Pareado!$F$2:$F$65,"Limpo",Pareado!$C$2:$C$65,"Integração",Pareado!$D$2:$D$65,"FS",Pareado!$Y$2:$Y$65,"executa")),0)</f>
        <v>0.375</v>
      </c>
      <c r="P13" s="4" t="n">
        <f aca="false">COUNTIFS(Pareado!$F$2:$F$65,"Limpo",Pareado!$C$2:$C$65,"Integração",Pareado!$D$2:$D$65,"FS",Pareado!$V$2:$V$65,1)</f>
        <v>1</v>
      </c>
      <c r="Q13" s="4" t="n">
        <f aca="false">SUMIFS(Pareado!$W$2:$W$65,Pareado!$F$2:$F$65,"Limpo",Pareado!$C$2:$C$65,"Integração",Pareado!$D$2:$D$65,"FS")</f>
        <v>6</v>
      </c>
      <c r="R13" s="4" t="n">
        <f aca="false">COUNTIFS(Pareado!$F$2:$F$65,"Limpo",Pareado!$C$2:$C$65,"Integração",Pareado!$D$2:$D$65,"FS",Pareado!$W$2:$W$65,3)</f>
        <v>2</v>
      </c>
      <c r="S13" s="4" t="n">
        <f aca="false">COUNTIFS(Pareado!$F$2:$F$65,"Limpo",Pareado!$C$2:$C$65,"Integração",Pareado!$D$2:$D$65,"FS",Pareado!$Y$2:$Y$65,"&lt;&gt;executa")</f>
        <v>0</v>
      </c>
      <c r="T13" s="4" t="n">
        <f aca="false">SUMIFS(Pareado!$AA$2:$AA$65,Pareado!$F$2:$F$65,"Limpo",Pareado!$C$2:$C$65,"Integração",Pareado!$D$2:$D$65,"FS")</f>
        <v>1</v>
      </c>
      <c r="U13" s="4" t="n">
        <f aca="false">COUNTIFS(Pareado!$F$2:$F$65,"Limpo",Pareado!$C$2:$C$65,"Integração",Pareado!$D$2:$D$65,"FS",Pareado!$AF$2:$AF$65,"ChatGPT")</f>
        <v>2</v>
      </c>
      <c r="V13" s="4" t="n">
        <f aca="false">COUNTIFS(Pareado!$F$2:$F$65,"Limpo",Pareado!$C$2:$C$65,"Integração",Pareado!$D$2:$D$65,"FS",Pareado!$AF$2:$AF$65,"empate")</f>
        <v>1</v>
      </c>
      <c r="W13" s="4" t="n">
        <f aca="false">COUNTIFS(Pareado!$F$2:$F$65,"Limpo",Pareado!$C$2:$C$65,"Integração",Pareado!$D$2:$D$65,"FS",Pareado!$AF$2:$AF$65,"Gemini")</f>
        <v>0</v>
      </c>
      <c r="X13" s="4" t="n">
        <f aca="false">COUNTIFS(Pareado!$F$2:$F$65,"Limpo",Pareado!$C$2:$C$65,"Integração",Pareado!$D$2:$D$65,"FS",Pareado!$AG$2:$AG$65,"ChatGPT")</f>
        <v>1</v>
      </c>
      <c r="Y13" s="4" t="n">
        <f aca="false">COUNTIFS(Pareado!$F$2:$F$65,"Limpo",Pareado!$C$2:$C$65,"Integração",Pareado!$D$2:$D$65,"FS",Pareado!$AG$2:$AG$65,"empate")</f>
        <v>1</v>
      </c>
      <c r="Z13" s="4" t="n">
        <f aca="false">COUNTIFS(Pareado!$F$2:$F$65,"Limpo",Pareado!$C$2:$C$65,"Integração",Pareado!$D$2:$D$65,"FS",Pareado!$AG$2:$AG$65,"Gemini")</f>
        <v>1</v>
      </c>
    </row>
    <row r="14" customFormat="false" ht="15" hidden="false" customHeight="false" outlineLevel="0" collapsed="false">
      <c r="A14" s="4" t="s">
        <v>111</v>
      </c>
      <c r="B14" s="4" t="s">
        <v>91</v>
      </c>
      <c r="C14" s="4" t="s">
        <v>61</v>
      </c>
      <c r="D14" s="4" t="n">
        <f aca="false">COUNTIFS(Pareado!$F$2:$F$65,"Limpo",Pareado!$C$2:$C$65,"Integração",Pareado!$D$2:$D$65,"COT")</f>
        <v>3</v>
      </c>
      <c r="E14" s="4" t="n">
        <f aca="false">SUMIFS(Pareado!$I$2:$I$65,Pareado!$F$2:$F$65,"Limpo",Pareado!$C$2:$C$65,"Integração",Pareado!$D$2:$D$65,"COT")</f>
        <v>25</v>
      </c>
      <c r="F14" s="4" t="n">
        <f aca="false">SUMIFS(Pareado!$J$2:$J$65,Pareado!$F$2:$F$65,"Limpo",Pareado!$C$2:$C$65,"Integração",Pareado!$D$2:$D$65,"COT")</f>
        <v>24</v>
      </c>
      <c r="G14" s="5" t="n">
        <f aca="false">IFERROR(F14/(F14+SUMIFS(Pareado!$K$2:$K$65,Pareado!$F$2:$F$65,"Limpo",Pareado!$C$2:$C$65,"Integração",Pareado!$D$2:$D$65,"COT",Pareado!$O$2:$O$65,"executa")),0)</f>
        <v>0.96</v>
      </c>
      <c r="H14" s="4" t="n">
        <f aca="false">COUNTIFS(Pareado!$F$2:$F$65,"Limpo",Pareado!$C$2:$C$65,"Integração",Pareado!$D$2:$D$65,"COT",Pareado!$L$2:$L$65,1)</f>
        <v>2</v>
      </c>
      <c r="I14" s="4" t="n">
        <f aca="false">SUMIFS(Pareado!$M$2:$M$65,Pareado!$F$2:$F$65,"Limpo",Pareado!$C$2:$C$65,"Integração",Pareado!$D$2:$D$65,"COT")</f>
        <v>7</v>
      </c>
      <c r="J14" s="4" t="n">
        <f aca="false">COUNTIFS(Pareado!$F$2:$F$65,"Limpo",Pareado!$C$2:$C$65,"Integração",Pareado!$D$2:$D$65,"COT",Pareado!$M$2:$M$65,3)</f>
        <v>2</v>
      </c>
      <c r="K14" s="4" t="n">
        <f aca="false">COUNTIFS(Pareado!$F$2:$F$65,"Limpo",Pareado!$C$2:$C$65,"Integração",Pareado!$D$2:$D$65,"COT",Pareado!$O$2:$O$65,"&lt;&gt;executa")</f>
        <v>0</v>
      </c>
      <c r="L14" s="4" t="n">
        <f aca="false">COUNTIFS(Pareado!$F$2:$F$65,"Limpo",Pareado!$C$2:$C$65,"Integração",Pareado!$D$2:$D$65,"COT",Pareado!$P$2:$P$65,"Sim")</f>
        <v>0</v>
      </c>
      <c r="M14" s="4" t="n">
        <f aca="false">SUMIFS(Pareado!$S$2:$S$65,Pareado!$F$2:$F$65,"Limpo",Pareado!$C$2:$C$65,"Integração",Pareado!$D$2:$D$65,"COT")</f>
        <v>19</v>
      </c>
      <c r="N14" s="4" t="n">
        <f aca="false">SUMIFS(Pareado!$T$2:$T$65,Pareado!$F$2:$F$65,"Limpo",Pareado!$C$2:$C$65,"Integração",Pareado!$D$2:$D$65,"COT")</f>
        <v>11</v>
      </c>
      <c r="O14" s="5" t="n">
        <f aca="false">IFERROR(N14/(N14+SUMIFS(Pareado!$U$2:$U$65,Pareado!$F$2:$F$65,"Limpo",Pareado!$C$2:$C$65,"Integração",Pareado!$D$2:$D$65,"COT",Pareado!$Y$2:$Y$65,"executa")),0)</f>
        <v>1</v>
      </c>
      <c r="P14" s="4" t="n">
        <f aca="false">COUNTIFS(Pareado!$F$2:$F$65,"Limpo",Pareado!$C$2:$C$65,"Integração",Pareado!$D$2:$D$65,"COT",Pareado!$V$2:$V$65,1)</f>
        <v>2</v>
      </c>
      <c r="Q14" s="4" t="n">
        <f aca="false">SUMIFS(Pareado!$W$2:$W$65,Pareado!$F$2:$F$65,"Limpo",Pareado!$C$2:$C$65,"Integração",Pareado!$D$2:$D$65,"COT")</f>
        <v>8</v>
      </c>
      <c r="R14" s="4" t="n">
        <f aca="false">COUNTIFS(Pareado!$F$2:$F$65,"Limpo",Pareado!$C$2:$C$65,"Integração",Pareado!$D$2:$D$65,"COT",Pareado!$W$2:$W$65,3)</f>
        <v>2</v>
      </c>
      <c r="S14" s="4" t="n">
        <f aca="false">COUNTIFS(Pareado!$F$2:$F$65,"Limpo",Pareado!$C$2:$C$65,"Integração",Pareado!$D$2:$D$65,"COT",Pareado!$Y$2:$Y$65,"&lt;&gt;executa")</f>
        <v>1</v>
      </c>
      <c r="T14" s="4" t="n">
        <f aca="false">SUMIFS(Pareado!$AA$2:$AA$65,Pareado!$F$2:$F$65,"Limpo",Pareado!$C$2:$C$65,"Integração",Pareado!$D$2:$D$65,"COT")</f>
        <v>0</v>
      </c>
      <c r="U14" s="4" t="n">
        <f aca="false">COUNTIFS(Pareado!$F$2:$F$65,"Limpo",Pareado!$C$2:$C$65,"Integração",Pareado!$D$2:$D$65,"COT",Pareado!$AF$2:$AF$65,"ChatGPT")</f>
        <v>2</v>
      </c>
      <c r="V14" s="4" t="n">
        <f aca="false">COUNTIFS(Pareado!$F$2:$F$65,"Limpo",Pareado!$C$2:$C$65,"Integração",Pareado!$D$2:$D$65,"COT",Pareado!$AF$2:$AF$65,"empate")</f>
        <v>0</v>
      </c>
      <c r="W14" s="4" t="n">
        <f aca="false">COUNTIFS(Pareado!$F$2:$F$65,"Limpo",Pareado!$C$2:$C$65,"Integração",Pareado!$D$2:$D$65,"COT",Pareado!$AF$2:$AF$65,"Gemini")</f>
        <v>1</v>
      </c>
      <c r="X14" s="4" t="n">
        <f aca="false">COUNTIFS(Pareado!$F$2:$F$65,"Limpo",Pareado!$C$2:$C$65,"Integração",Pareado!$D$2:$D$65,"COT",Pareado!$AG$2:$AG$65,"ChatGPT")</f>
        <v>1</v>
      </c>
      <c r="Y14" s="4" t="n">
        <f aca="false">COUNTIFS(Pareado!$F$2:$F$65,"Limpo",Pareado!$C$2:$C$65,"Integração",Pareado!$D$2:$D$65,"COT",Pareado!$AG$2:$AG$65,"empate")</f>
        <v>1</v>
      </c>
      <c r="Z14" s="4" t="n">
        <f aca="false">COUNTIFS(Pareado!$F$2:$F$65,"Limpo",Pareado!$C$2:$C$65,"Integração",Pareado!$D$2:$D$65,"COT",Pareado!$AG$2:$AG$65,"Gemini")</f>
        <v>1</v>
      </c>
    </row>
    <row r="15" customFormat="false" ht="15" hidden="false" customHeight="false" outlineLevel="0" collapsed="false">
      <c r="A15" s="7" t="s">
        <v>111</v>
      </c>
      <c r="B15" s="7" t="s">
        <v>91</v>
      </c>
      <c r="C15" s="7" t="s">
        <v>206</v>
      </c>
      <c r="D15" s="7" t="n">
        <f aca="false">COUNTIFS(Pareado!$F$2:$F$65,"Limpo",Pareado!$C$2:$C$65,"Integração")</f>
        <v>9</v>
      </c>
      <c r="E15" s="7" t="n">
        <f aca="false">SUMIFS(Pareado!$I$2:$I$65,Pareado!$F$2:$F$65,"Limpo",Pareado!$C$2:$C$65,"Integração")</f>
        <v>50</v>
      </c>
      <c r="F15" s="7" t="n">
        <f aca="false">SUMIFS(Pareado!$J$2:$J$65,Pareado!$F$2:$F$65,"Limpo",Pareado!$C$2:$C$65,"Integração")</f>
        <v>43</v>
      </c>
      <c r="G15" s="8" t="n">
        <f aca="false">IFERROR(F15/(F15+SUMIFS(Pareado!$K$2:$K$65,Pareado!$F$2:$F$65,"Limpo",Pareado!$C$2:$C$65,"Integração",Pareado!$O$2:$O$65,"executa")),0)</f>
        <v>0.86</v>
      </c>
      <c r="H15" s="7" t="n">
        <f aca="false">COUNTIFS(Pareado!$F$2:$F$65,"Limpo",Pareado!$C$2:$C$65,"Integração",Pareado!$L$2:$L$65,1)</f>
        <v>4</v>
      </c>
      <c r="I15" s="7" t="n">
        <f aca="false">SUMIFS(Pareado!$M$2:$M$65,Pareado!$F$2:$F$65,"Limpo",Pareado!$C$2:$C$65,"Integração")</f>
        <v>20</v>
      </c>
      <c r="J15" s="7" t="n">
        <f aca="false">COUNTIFS(Pareado!$F$2:$F$65,"Limpo",Pareado!$C$2:$C$65,"Integração",Pareado!$M$2:$M$65,3)</f>
        <v>6</v>
      </c>
      <c r="K15" s="7" t="n">
        <f aca="false">COUNTIFS(Pareado!$F$2:$F$65,"Limpo",Pareado!$C$2:$C$65,"Integração",Pareado!$O$2:$O$65,"&lt;&gt;executa")</f>
        <v>0</v>
      </c>
      <c r="L15" s="7" t="n">
        <f aca="false">COUNTIFS(Pareado!$F$2:$F$65,"Limpo",Pareado!$C$2:$C$65,"Integração",Pareado!$P$2:$P$65,"Sim")</f>
        <v>1</v>
      </c>
      <c r="M15" s="7" t="n">
        <f aca="false">SUMIFS(Pareado!$S$2:$S$65,Pareado!$F$2:$F$65,"Limpo",Pareado!$C$2:$C$65,"Integração")</f>
        <v>41</v>
      </c>
      <c r="N15" s="7" t="n">
        <f aca="false">SUMIFS(Pareado!$T$2:$T$65,Pareado!$F$2:$F$65,"Limpo",Pareado!$C$2:$C$65,"Integração")</f>
        <v>23</v>
      </c>
      <c r="O15" s="8" t="n">
        <f aca="false">IFERROR(N15/(N15+SUMIFS(Pareado!$U$2:$U$65,Pareado!$F$2:$F$65,"Limpo",Pareado!$C$2:$C$65,"Integração",Pareado!$Y$2:$Y$65,"executa")),0)</f>
        <v>0.793103448275862</v>
      </c>
      <c r="P15" s="7" t="n">
        <f aca="false">COUNTIFS(Pareado!$F$2:$F$65,"Limpo",Pareado!$C$2:$C$65,"Integração",Pareado!$V$2:$V$65,1)</f>
        <v>4</v>
      </c>
      <c r="Q15" s="7" t="n">
        <f aca="false">SUMIFS(Pareado!$W$2:$W$65,Pareado!$F$2:$F$65,"Limpo",Pareado!$C$2:$C$65,"Integração")</f>
        <v>20</v>
      </c>
      <c r="R15" s="7" t="n">
        <f aca="false">COUNTIFS(Pareado!$F$2:$F$65,"Limpo",Pareado!$C$2:$C$65,"Integração",Pareado!$W$2:$W$65,3)</f>
        <v>6</v>
      </c>
      <c r="S15" s="7" t="n">
        <f aca="false">COUNTIFS(Pareado!$F$2:$F$65,"Limpo",Pareado!$C$2:$C$65,"Integração",Pareado!$Y$2:$Y$65,"&lt;&gt;executa")</f>
        <v>2</v>
      </c>
      <c r="T15" s="7" t="n">
        <f aca="false">SUMIFS(Pareado!$AA$2:$AA$65,Pareado!$F$2:$F$65,"Limpo",Pareado!$C$2:$C$65,"Integração")</f>
        <v>1</v>
      </c>
      <c r="U15" s="7" t="n">
        <f aca="false">COUNTIFS(Pareado!$F$2:$F$65,"Limpo",Pareado!$C$2:$C$65,"Integração",Pareado!$AF$2:$AF$65,"ChatGPT")</f>
        <v>5</v>
      </c>
      <c r="V15" s="7" t="n">
        <f aca="false">COUNTIFS(Pareado!$F$2:$F$65,"Limpo",Pareado!$C$2:$C$65,"Integração",Pareado!$AF$2:$AF$65,"empate")</f>
        <v>2</v>
      </c>
      <c r="W15" s="7" t="n">
        <f aca="false">COUNTIFS(Pareado!$F$2:$F$65,"Limpo",Pareado!$C$2:$C$65,"Integração",Pareado!$AF$2:$AF$65,"Gemini")</f>
        <v>2</v>
      </c>
      <c r="X15" s="7" t="n">
        <f aca="false">COUNTIFS(Pareado!$F$2:$F$65,"Limpo",Pareado!$C$2:$C$65,"Integração",Pareado!$AG$2:$AG$65,"ChatGPT")</f>
        <v>4</v>
      </c>
      <c r="Y15" s="7" t="n">
        <f aca="false">COUNTIFS(Pareado!$F$2:$F$65,"Limpo",Pareado!$C$2:$C$65,"Integração",Pareado!$AG$2:$AG$65,"empate")</f>
        <v>3</v>
      </c>
      <c r="Z15" s="7" t="n">
        <f aca="false">COUNTIFS(Pareado!$F$2:$F$65,"Limpo",Pareado!$C$2:$C$65,"Integração",Pareado!$AG$2:$AG$65,"Gemini")</f>
        <v>2</v>
      </c>
    </row>
    <row r="16" customFormat="false" ht="15" hidden="false" customHeight="false" outlineLevel="0" collapsed="false">
      <c r="A16" s="4" t="s">
        <v>111</v>
      </c>
      <c r="B16" s="4" t="s">
        <v>207</v>
      </c>
      <c r="C16" s="4" t="s">
        <v>45</v>
      </c>
      <c r="D16" s="4" t="n">
        <f aca="false">COUNTIFS(Pareado!$F$2:$F$65,"Limpo",Pareado!$D$2:$D$65,"ZS")</f>
        <v>13</v>
      </c>
      <c r="E16" s="4" t="n">
        <f aca="false">SUMIFS(Pareado!$I$2:$I$65,Pareado!$F$2:$F$65,"Limpo",Pareado!$D$2:$D$65,"ZS")</f>
        <v>201</v>
      </c>
      <c r="F16" s="4" t="n">
        <f aca="false">SUMIFS(Pareado!$J$2:$J$65,Pareado!$F$2:$F$65,"Limpo",Pareado!$D$2:$D$65,"ZS")</f>
        <v>196</v>
      </c>
      <c r="G16" s="5" t="n">
        <f aca="false">IFERROR(F16/(F16+SUMIFS(Pareado!$K$2:$K$65,Pareado!$F$2:$F$65,"Limpo",Pareado!$D$2:$D$65,"ZS",Pareado!$O$2:$O$65,"executa")),0)</f>
        <v>0.975124378109453</v>
      </c>
      <c r="H16" s="4" t="n">
        <f aca="false">COUNTIFS(Pareado!$F$2:$F$65,"Limpo",Pareado!$D$2:$D$65,"ZS",Pareado!$L$2:$L$65,1)</f>
        <v>9</v>
      </c>
      <c r="I16" s="4" t="n">
        <f aca="false">SUMIFS(Pareado!$M$2:$M$65,Pareado!$F$2:$F$65,"Limpo",Pareado!$D$2:$D$65,"ZS")</f>
        <v>15</v>
      </c>
      <c r="J16" s="4" t="n">
        <f aca="false">COUNTIFS(Pareado!$F$2:$F$65,"Limpo",Pareado!$D$2:$D$65,"ZS",Pareado!$M$2:$M$65,3)</f>
        <v>3</v>
      </c>
      <c r="K16" s="4" t="n">
        <f aca="false">COUNTIFS(Pareado!$F$2:$F$65,"Limpo",Pareado!$D$2:$D$65,"ZS",Pareado!$O$2:$O$65,"&lt;&gt;executa")</f>
        <v>0</v>
      </c>
      <c r="L16" s="4" t="n">
        <f aca="false">COUNTIFS(Pareado!$F$2:$F$65,"Limpo",Pareado!$D$2:$D$65,"ZS",Pareado!$P$2:$P$65,"Sim")</f>
        <v>1</v>
      </c>
      <c r="M16" s="4" t="n">
        <f aca="false">SUMIFS(Pareado!$S$2:$S$65,Pareado!$F$2:$F$65,"Limpo",Pareado!$D$2:$D$65,"ZS")</f>
        <v>147</v>
      </c>
      <c r="N16" s="4" t="n">
        <f aca="false">SUMIFS(Pareado!$T$2:$T$65,Pareado!$F$2:$F$65,"Limpo",Pareado!$D$2:$D$65,"ZS")</f>
        <v>142</v>
      </c>
      <c r="O16" s="5" t="n">
        <f aca="false">IFERROR(N16/(N16+SUMIFS(Pareado!$U$2:$U$65,Pareado!$F$2:$F$65,"Limpo",Pareado!$D$2:$D$65,"ZS",Pareado!$Y$2:$Y$65,"executa")),0)</f>
        <v>0.993006993006993</v>
      </c>
      <c r="P16" s="4" t="n">
        <f aca="false">COUNTIFS(Pareado!$F$2:$F$65,"Limpo",Pareado!$D$2:$D$65,"ZS",Pareado!$V$2:$V$65,1)</f>
        <v>11</v>
      </c>
      <c r="Q16" s="4" t="n">
        <f aca="false">SUMIFS(Pareado!$W$2:$W$65,Pareado!$F$2:$F$65,"Limpo",Pareado!$D$2:$D$65,"ZS")</f>
        <v>12</v>
      </c>
      <c r="R16" s="4" t="n">
        <f aca="false">COUNTIFS(Pareado!$F$2:$F$65,"Limpo",Pareado!$D$2:$D$65,"ZS",Pareado!$W$2:$W$65,3)</f>
        <v>3</v>
      </c>
      <c r="S16" s="4" t="n">
        <f aca="false">COUNTIFS(Pareado!$F$2:$F$65,"Limpo",Pareado!$D$2:$D$65,"ZS",Pareado!$Y$2:$Y$65,"&lt;&gt;executa")</f>
        <v>1</v>
      </c>
      <c r="T16" s="4" t="n">
        <f aca="false">SUMIFS(Pareado!$AA$2:$AA$65,Pareado!$F$2:$F$65,"Limpo",Pareado!$D$2:$D$65,"ZS")</f>
        <v>4</v>
      </c>
      <c r="U16" s="4" t="n">
        <f aca="false">COUNTIFS(Pareado!$F$2:$F$65,"Limpo",Pareado!$D$2:$D$65,"ZS",Pareado!$AF$2:$AF$65,"ChatGPT")</f>
        <v>10</v>
      </c>
      <c r="V16" s="4" t="n">
        <f aca="false">COUNTIFS(Pareado!$F$2:$F$65,"Limpo",Pareado!$D$2:$D$65,"ZS",Pareado!$AF$2:$AF$65,"empate")</f>
        <v>1</v>
      </c>
      <c r="W16" s="4" t="n">
        <f aca="false">COUNTIFS(Pareado!$F$2:$F$65,"Limpo",Pareado!$D$2:$D$65,"ZS",Pareado!$AF$2:$AF$65,"Gemini")</f>
        <v>2</v>
      </c>
      <c r="X16" s="4" t="n">
        <f aca="false">COUNTIFS(Pareado!$F$2:$F$65,"Limpo",Pareado!$D$2:$D$65,"ZS",Pareado!$AG$2:$AG$65,"ChatGPT")</f>
        <v>2</v>
      </c>
      <c r="Y16" s="4" t="n">
        <f aca="false">COUNTIFS(Pareado!$F$2:$F$65,"Limpo",Pareado!$D$2:$D$65,"ZS",Pareado!$AG$2:$AG$65,"empate")</f>
        <v>9</v>
      </c>
      <c r="Z16" s="4" t="n">
        <f aca="false">COUNTIFS(Pareado!$F$2:$F$65,"Limpo",Pareado!$D$2:$D$65,"ZS",Pareado!$AG$2:$AG$65,"Gemini")</f>
        <v>2</v>
      </c>
    </row>
    <row r="17" customFormat="false" ht="15" hidden="false" customHeight="false" outlineLevel="0" collapsed="false">
      <c r="A17" s="4" t="s">
        <v>111</v>
      </c>
      <c r="B17" s="4" t="s">
        <v>207</v>
      </c>
      <c r="C17" s="4" t="s">
        <v>56</v>
      </c>
      <c r="D17" s="4" t="n">
        <f aca="false">COUNTIFS(Pareado!$F$2:$F$65,"Limpo",Pareado!$D$2:$D$65,"FS")</f>
        <v>13</v>
      </c>
      <c r="E17" s="4" t="n">
        <f aca="false">SUMIFS(Pareado!$I$2:$I$65,Pareado!$F$2:$F$65,"Limpo",Pareado!$D$2:$D$65,"FS")</f>
        <v>113</v>
      </c>
      <c r="F17" s="4" t="n">
        <f aca="false">SUMIFS(Pareado!$J$2:$J$65,Pareado!$F$2:$F$65,"Limpo",Pareado!$D$2:$D$65,"FS")</f>
        <v>101</v>
      </c>
      <c r="G17" s="5" t="n">
        <f aca="false">IFERROR(F17/(F17+SUMIFS(Pareado!$K$2:$K$65,Pareado!$F$2:$F$65,"Limpo",Pareado!$D$2:$D$65,"FS",Pareado!$O$2:$O$65,"executa")),0)</f>
        <v>0.893805309734513</v>
      </c>
      <c r="H17" s="4" t="n">
        <f aca="false">COUNTIFS(Pareado!$F$2:$F$65,"Limpo",Pareado!$D$2:$D$65,"FS",Pareado!$L$2:$L$65,1)</f>
        <v>8</v>
      </c>
      <c r="I17" s="4" t="n">
        <f aca="false">SUMIFS(Pareado!$M$2:$M$65,Pareado!$F$2:$F$65,"Limpo",Pareado!$D$2:$D$65,"FS")</f>
        <v>16</v>
      </c>
      <c r="J17" s="4" t="n">
        <f aca="false">COUNTIFS(Pareado!$F$2:$F$65,"Limpo",Pareado!$D$2:$D$65,"FS",Pareado!$M$2:$M$65,3)</f>
        <v>5</v>
      </c>
      <c r="K17" s="4" t="n">
        <f aca="false">COUNTIFS(Pareado!$F$2:$F$65,"Limpo",Pareado!$D$2:$D$65,"FS",Pareado!$O$2:$O$65,"&lt;&gt;executa")</f>
        <v>0</v>
      </c>
      <c r="L17" s="4" t="n">
        <f aca="false">COUNTIFS(Pareado!$F$2:$F$65,"Limpo",Pareado!$D$2:$D$65,"FS",Pareado!$P$2:$P$65,"Sim")</f>
        <v>1</v>
      </c>
      <c r="M17" s="4" t="n">
        <f aca="false">SUMIFS(Pareado!$S$2:$S$65,Pareado!$F$2:$F$65,"Limpo",Pareado!$D$2:$D$65,"FS")</f>
        <v>82</v>
      </c>
      <c r="N17" s="4" t="n">
        <f aca="false">SUMIFS(Pareado!$T$2:$T$65,Pareado!$F$2:$F$65,"Limpo",Pareado!$D$2:$D$65,"FS")</f>
        <v>77</v>
      </c>
      <c r="O17" s="5" t="n">
        <f aca="false">IFERROR(N17/(N17+SUMIFS(Pareado!$U$2:$U$65,Pareado!$F$2:$F$65,"Limpo",Pareado!$D$2:$D$65,"FS",Pareado!$Y$2:$Y$65,"executa")),0)</f>
        <v>0.939024390243902</v>
      </c>
      <c r="P17" s="4" t="n">
        <f aca="false">COUNTIFS(Pareado!$F$2:$F$65,"Limpo",Pareado!$D$2:$D$65,"FS",Pareado!$V$2:$V$65,1)</f>
        <v>11</v>
      </c>
      <c r="Q17" s="4" t="n">
        <f aca="false">SUMIFS(Pareado!$W$2:$W$65,Pareado!$F$2:$F$65,"Limpo",Pareado!$D$2:$D$65,"FS")</f>
        <v>9</v>
      </c>
      <c r="R17" s="4" t="n">
        <f aca="false">COUNTIFS(Pareado!$F$2:$F$65,"Limpo",Pareado!$D$2:$D$65,"FS",Pareado!$W$2:$W$65,3)</f>
        <v>2</v>
      </c>
      <c r="S17" s="4" t="n">
        <f aca="false">COUNTIFS(Pareado!$F$2:$F$65,"Limpo",Pareado!$D$2:$D$65,"FS",Pareado!$Y$2:$Y$65,"&lt;&gt;executa")</f>
        <v>0</v>
      </c>
      <c r="T17" s="4" t="n">
        <f aca="false">SUMIFS(Pareado!$AA$2:$AA$65,Pareado!$F$2:$F$65,"Limpo",Pareado!$D$2:$D$65,"FS")</f>
        <v>6</v>
      </c>
      <c r="U17" s="4" t="n">
        <f aca="false">COUNTIFS(Pareado!$F$2:$F$65,"Limpo",Pareado!$D$2:$D$65,"FS",Pareado!$AF$2:$AF$65,"ChatGPT")</f>
        <v>8</v>
      </c>
      <c r="V17" s="4" t="n">
        <f aca="false">COUNTIFS(Pareado!$F$2:$F$65,"Limpo",Pareado!$D$2:$D$65,"FS",Pareado!$AF$2:$AF$65,"empate")</f>
        <v>1</v>
      </c>
      <c r="W17" s="4" t="n">
        <f aca="false">COUNTIFS(Pareado!$F$2:$F$65,"Limpo",Pareado!$D$2:$D$65,"FS",Pareado!$AF$2:$AF$65,"Gemini")</f>
        <v>4</v>
      </c>
      <c r="X17" s="4" t="n">
        <f aca="false">COUNTIFS(Pareado!$F$2:$F$65,"Limpo",Pareado!$D$2:$D$65,"FS",Pareado!$AG$2:$AG$65,"ChatGPT")</f>
        <v>1</v>
      </c>
      <c r="Y17" s="4" t="n">
        <f aca="false">COUNTIFS(Pareado!$F$2:$F$65,"Limpo",Pareado!$D$2:$D$65,"FS",Pareado!$AG$2:$AG$65,"empate")</f>
        <v>8</v>
      </c>
      <c r="Z17" s="4" t="n">
        <f aca="false">COUNTIFS(Pareado!$F$2:$F$65,"Limpo",Pareado!$D$2:$D$65,"FS",Pareado!$AG$2:$AG$65,"Gemini")</f>
        <v>4</v>
      </c>
    </row>
    <row r="18" customFormat="false" ht="15" hidden="false" customHeight="false" outlineLevel="0" collapsed="false">
      <c r="A18" s="4" t="s">
        <v>111</v>
      </c>
      <c r="B18" s="4" t="s">
        <v>207</v>
      </c>
      <c r="C18" s="4" t="s">
        <v>61</v>
      </c>
      <c r="D18" s="4" t="n">
        <f aca="false">COUNTIFS(Pareado!$F$2:$F$65,"Limpo",Pareado!$D$2:$D$65,"COT")</f>
        <v>13</v>
      </c>
      <c r="E18" s="4" t="n">
        <f aca="false">SUMIFS(Pareado!$I$2:$I$65,Pareado!$F$2:$F$65,"Limpo",Pareado!$D$2:$D$65,"COT")</f>
        <v>262</v>
      </c>
      <c r="F18" s="4" t="n">
        <f aca="false">SUMIFS(Pareado!$J$2:$J$65,Pareado!$F$2:$F$65,"Limpo",Pareado!$D$2:$D$65,"COT")</f>
        <v>232</v>
      </c>
      <c r="G18" s="5" t="n">
        <f aca="false">IFERROR(F18/(F18+SUMIFS(Pareado!$K$2:$K$65,Pareado!$F$2:$F$65,"Limpo",Pareado!$D$2:$D$65,"COT",Pareado!$O$2:$O$65,"executa")),0)</f>
        <v>0.978902953586498</v>
      </c>
      <c r="H18" s="4" t="n">
        <f aca="false">COUNTIFS(Pareado!$F$2:$F$65,"Limpo",Pareado!$D$2:$D$65,"COT",Pareado!$L$2:$L$65,1)</f>
        <v>9</v>
      </c>
      <c r="I18" s="4" t="n">
        <f aca="false">SUMIFS(Pareado!$M$2:$M$65,Pareado!$F$2:$F$65,"Limpo",Pareado!$D$2:$D$65,"COT")</f>
        <v>19</v>
      </c>
      <c r="J18" s="4" t="n">
        <f aca="false">COUNTIFS(Pareado!$F$2:$F$65,"Limpo",Pareado!$D$2:$D$65,"COT",Pareado!$M$2:$M$65,3)</f>
        <v>5</v>
      </c>
      <c r="K18" s="4" t="n">
        <f aca="false">COUNTIFS(Pareado!$F$2:$F$65,"Limpo",Pareado!$D$2:$D$65,"COT",Pareado!$O$2:$O$65,"&lt;&gt;executa")</f>
        <v>1</v>
      </c>
      <c r="L18" s="4" t="n">
        <f aca="false">COUNTIFS(Pareado!$F$2:$F$65,"Limpo",Pareado!$D$2:$D$65,"COT",Pareado!$P$2:$P$65,"Sim")</f>
        <v>1</v>
      </c>
      <c r="M18" s="4" t="n">
        <f aca="false">SUMIFS(Pareado!$S$2:$S$65,Pareado!$F$2:$F$65,"Limpo",Pareado!$D$2:$D$65,"COT")</f>
        <v>147</v>
      </c>
      <c r="N18" s="4" t="n">
        <f aca="false">SUMIFS(Pareado!$T$2:$T$65,Pareado!$F$2:$F$65,"Limpo",Pareado!$D$2:$D$65,"COT")</f>
        <v>123</v>
      </c>
      <c r="O18" s="5" t="n">
        <f aca="false">IFERROR(N18/(N18+SUMIFS(Pareado!$U$2:$U$65,Pareado!$F$2:$F$65,"Limpo",Pareado!$D$2:$D$65,"COT",Pareado!$Y$2:$Y$65,"executa")),0)</f>
        <v>0.884892086330935</v>
      </c>
      <c r="P18" s="4" t="n">
        <f aca="false">COUNTIFS(Pareado!$F$2:$F$65,"Limpo",Pareado!$D$2:$D$65,"COT",Pareado!$V$2:$V$65,1)</f>
        <v>9</v>
      </c>
      <c r="Q18" s="4" t="n">
        <f aca="false">SUMIFS(Pareado!$W$2:$W$65,Pareado!$F$2:$F$65,"Limpo",Pareado!$D$2:$D$65,"COT")</f>
        <v>18</v>
      </c>
      <c r="R18" s="4" t="n">
        <f aca="false">COUNTIFS(Pareado!$F$2:$F$65,"Limpo",Pareado!$D$2:$D$65,"COT",Pareado!$W$2:$W$65,3)</f>
        <v>5</v>
      </c>
      <c r="S18" s="4" t="n">
        <f aca="false">COUNTIFS(Pareado!$F$2:$F$65,"Limpo",Pareado!$D$2:$D$65,"COT",Pareado!$Y$2:$Y$65,"&lt;&gt;executa")</f>
        <v>1</v>
      </c>
      <c r="T18" s="4" t="n">
        <f aca="false">SUMIFS(Pareado!$AA$2:$AA$65,Pareado!$F$2:$F$65,"Limpo",Pareado!$D$2:$D$65,"COT")</f>
        <v>7</v>
      </c>
      <c r="U18" s="4" t="n">
        <f aca="false">COUNTIFS(Pareado!$F$2:$F$65,"Limpo",Pareado!$D$2:$D$65,"COT",Pareado!$AF$2:$AF$65,"ChatGPT")</f>
        <v>12</v>
      </c>
      <c r="V18" s="4" t="n">
        <f aca="false">COUNTIFS(Pareado!$F$2:$F$65,"Limpo",Pareado!$D$2:$D$65,"COT",Pareado!$AF$2:$AF$65,"empate")</f>
        <v>0</v>
      </c>
      <c r="W18" s="4" t="n">
        <f aca="false">COUNTIFS(Pareado!$F$2:$F$65,"Limpo",Pareado!$D$2:$D$65,"COT",Pareado!$AF$2:$AF$65,"Gemini")</f>
        <v>1</v>
      </c>
      <c r="X18" s="4" t="n">
        <f aca="false">COUNTIFS(Pareado!$F$2:$F$65,"Limpo",Pareado!$D$2:$D$65,"COT",Pareado!$AG$2:$AG$65,"ChatGPT")</f>
        <v>2</v>
      </c>
      <c r="Y18" s="4" t="n">
        <f aca="false">COUNTIFS(Pareado!$F$2:$F$65,"Limpo",Pareado!$D$2:$D$65,"COT",Pareado!$AG$2:$AG$65,"empate")</f>
        <v>8</v>
      </c>
      <c r="Z18" s="4" t="n">
        <f aca="false">COUNTIFS(Pareado!$F$2:$F$65,"Limpo",Pareado!$D$2:$D$65,"COT",Pareado!$AG$2:$AG$65,"Gemini")</f>
        <v>3</v>
      </c>
    </row>
    <row r="19" customFormat="false" ht="15" hidden="false" customHeight="false" outlineLevel="0" collapsed="false">
      <c r="A19" s="7" t="s">
        <v>111</v>
      </c>
      <c r="B19" s="7" t="s">
        <v>207</v>
      </c>
      <c r="C19" s="7" t="s">
        <v>206</v>
      </c>
      <c r="D19" s="7" t="n">
        <f aca="false">COUNTIFS(Pareado!$F$2:$F$65,"Limpo")</f>
        <v>39</v>
      </c>
      <c r="E19" s="7" t="n">
        <f aca="false">SUMIFS(Pareado!$I$2:$I$65,Pareado!$F$2:$F$65,"Limpo")</f>
        <v>576</v>
      </c>
      <c r="F19" s="7" t="n">
        <f aca="false">SUMIFS(Pareado!$J$2:$J$65,Pareado!$F$2:$F$65,"Limpo")</f>
        <v>529</v>
      </c>
      <c r="G19" s="8" t="n">
        <f aca="false">IFERROR(F19/(F19+SUMIFS(Pareado!$K$2:$K$65,Pareado!$F$2:$F$65,"Limpo",Pareado!$O$2:$O$65,"executa")),0)</f>
        <v>0.960072595281307</v>
      </c>
      <c r="H19" s="7" t="n">
        <f aca="false">COUNTIFS(Pareado!$F$2:$F$65,"Limpo",Pareado!$L$2:$L$65,1)</f>
        <v>26</v>
      </c>
      <c r="I19" s="7" t="n">
        <f aca="false">SUMIFS(Pareado!$M$2:$M$65,Pareado!$F$2:$F$65,"Limpo")</f>
        <v>50</v>
      </c>
      <c r="J19" s="7" t="n">
        <f aca="false">COUNTIFS(Pareado!$F$2:$F$65,"Limpo",Pareado!$M$2:$M$65,3)</f>
        <v>13</v>
      </c>
      <c r="K19" s="7" t="n">
        <f aca="false">COUNTIFS(Pareado!$F$2:$F$65,"Limpo",Pareado!$O$2:$O$65,"&lt;&gt;executa")</f>
        <v>1</v>
      </c>
      <c r="L19" s="7" t="n">
        <f aca="false">COUNTIFS(Pareado!$F$2:$F$65,"Limpo",Pareado!$P$2:$P$65,"Sim")</f>
        <v>3</v>
      </c>
      <c r="M19" s="7" t="n">
        <f aca="false">SUMIFS(Pareado!$S$2:$S$65,Pareado!$F$2:$F$65,"Limpo")</f>
        <v>376</v>
      </c>
      <c r="N19" s="7" t="n">
        <f aca="false">SUMIFS(Pareado!$T$2:$T$65,Pareado!$F$2:$F$65,"Limpo")</f>
        <v>342</v>
      </c>
      <c r="O19" s="8" t="n">
        <f aca="false">IFERROR(N19/(N19+SUMIFS(Pareado!$U$2:$U$65,Pareado!$F$2:$F$65,"Limpo",Pareado!$Y$2:$Y$65,"executa")),0)</f>
        <v>0.93956043956044</v>
      </c>
      <c r="P19" s="7" t="n">
        <f aca="false">COUNTIFS(Pareado!$F$2:$F$65,"Limpo",Pareado!$V$2:$V$65,1)</f>
        <v>31</v>
      </c>
      <c r="Q19" s="7" t="n">
        <f aca="false">SUMIFS(Pareado!$W$2:$W$65,Pareado!$F$2:$F$65,"Limpo")</f>
        <v>39</v>
      </c>
      <c r="R19" s="7" t="n">
        <f aca="false">COUNTIFS(Pareado!$F$2:$F$65,"Limpo",Pareado!$W$2:$W$65,3)</f>
        <v>10</v>
      </c>
      <c r="S19" s="7" t="n">
        <f aca="false">COUNTIFS(Pareado!$F$2:$F$65,"Limpo",Pareado!$Y$2:$Y$65,"&lt;&gt;executa")</f>
        <v>2</v>
      </c>
      <c r="T19" s="7" t="n">
        <f aca="false">SUMIFS(Pareado!$AA$2:$AA$65,Pareado!$F$2:$F$65,"Limpo")</f>
        <v>17</v>
      </c>
      <c r="U19" s="7" t="n">
        <f aca="false">COUNTIFS(Pareado!$F$2:$F$65,"Limpo",Pareado!$AF$2:$AF$65,"ChatGPT")</f>
        <v>30</v>
      </c>
      <c r="V19" s="7" t="n">
        <f aca="false">COUNTIFS(Pareado!$F$2:$F$65,"Limpo",Pareado!$AF$2:$AF$65,"empate")</f>
        <v>2</v>
      </c>
      <c r="W19" s="7" t="n">
        <f aca="false">COUNTIFS(Pareado!$F$2:$F$65,"Limpo",Pareado!$AF$2:$AF$65,"Gemini")</f>
        <v>7</v>
      </c>
      <c r="X19" s="7" t="n">
        <f aca="false">COUNTIFS(Pareado!$F$2:$F$65,"Limpo",Pareado!$AG$2:$AG$65,"ChatGPT")</f>
        <v>5</v>
      </c>
      <c r="Y19" s="7" t="n">
        <f aca="false">COUNTIFS(Pareado!$F$2:$F$65,"Limpo",Pareado!$AG$2:$AG$65,"empate")</f>
        <v>25</v>
      </c>
      <c r="Z19" s="7" t="n">
        <f aca="false">COUNTIFS(Pareado!$F$2:$F$65,"Limpo",Pareado!$AG$2:$AG$65,"Gemini")</f>
        <v>9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5"/>
      <c r="H20" s="4"/>
      <c r="I20" s="4"/>
      <c r="J20" s="4"/>
      <c r="K20" s="4"/>
      <c r="L20" s="4"/>
      <c r="M20" s="4"/>
      <c r="N20" s="4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false" outlineLevel="0" collapsed="false">
      <c r="A21" s="4" t="s">
        <v>47</v>
      </c>
      <c r="B21" s="4" t="s">
        <v>44</v>
      </c>
      <c r="C21" s="4" t="s">
        <v>45</v>
      </c>
      <c r="D21" s="4" t="n">
        <f aca="false">COUNTIFS(Pareado!$F$2:$F$65,"Bug plantado",Pareado!$C$2:$C$65,"Unitário",Pareado!$D$2:$D$65,"ZS")</f>
        <v>2</v>
      </c>
      <c r="E21" s="4" t="n">
        <f aca="false">SUMIFS(Pareado!$I$2:$I$65,Pareado!$F$2:$F$65,"Bug plantado",Pareado!$C$2:$C$65,"Unitário",Pareado!$D$2:$D$65,"ZS")</f>
        <v>24</v>
      </c>
      <c r="F21" s="4" t="n">
        <f aca="false">SUMIFS(Pareado!$J$2:$J$65,Pareado!$F$2:$F$65,"Bug plantado",Pareado!$C$2:$C$65,"Unitário",Pareado!$D$2:$D$65,"ZS")</f>
        <v>24</v>
      </c>
      <c r="G21" s="5" t="n">
        <f aca="false">IFERROR(F21/(F21+SUMIFS(Pareado!$K$2:$K$65,Pareado!$F$2:$F$65,"Bug plantado",Pareado!$C$2:$C$65,"Unitário",Pareado!$D$2:$D$65,"ZS",Pareado!$O$2:$O$65,"executa")),0)</f>
        <v>1</v>
      </c>
      <c r="H21" s="4" t="n">
        <f aca="false">COUNTIFS(Pareado!$F$2:$F$65,"Bug plantado",Pareado!$C$2:$C$65,"Unitário",Pareado!$D$2:$D$65,"ZS",Pareado!$L$2:$L$65,1)</f>
        <v>2</v>
      </c>
      <c r="I21" s="4" t="n">
        <f aca="false">SUMIFS(Pareado!$M$2:$M$65,Pareado!$F$2:$F$65,"Bug plantado",Pareado!$C$2:$C$65,"Unitário",Pareado!$D$2:$D$65,"ZS")</f>
        <v>0</v>
      </c>
      <c r="J21" s="4" t="n">
        <f aca="false">COUNTIFS(Pareado!$F$2:$F$65,"Bug plantado",Pareado!$C$2:$C$65,"Unitário",Pareado!$D$2:$D$65,"ZS",Pareado!$M$2:$M$65,3)</f>
        <v>0</v>
      </c>
      <c r="K21" s="4" t="n">
        <f aca="false">COUNTIFS(Pareado!$F$2:$F$65,"Bug plantado",Pareado!$C$2:$C$65,"Unitário",Pareado!$D$2:$D$65,"ZS",Pareado!$O$2:$O$65,"&lt;&gt;executa")</f>
        <v>0</v>
      </c>
      <c r="L21" s="4" t="n">
        <f aca="false">COUNTIFS(Pareado!$F$2:$F$65,"Bug plantado",Pareado!$C$2:$C$65,"Unitário",Pareado!$D$2:$D$65,"ZS",Pareado!$P$2:$P$65,"Sim")</f>
        <v>0</v>
      </c>
      <c r="M21" s="4" t="n">
        <f aca="false">SUMIFS(Pareado!$S$2:$S$65,Pareado!$F$2:$F$65,"Bug plantado",Pareado!$C$2:$C$65,"Unitário",Pareado!$D$2:$D$65,"ZS")</f>
        <v>18</v>
      </c>
      <c r="N21" s="4" t="n">
        <f aca="false">SUMIFS(Pareado!$T$2:$T$65,Pareado!$F$2:$F$65,"Bug plantado",Pareado!$C$2:$C$65,"Unitário",Pareado!$D$2:$D$65,"ZS")</f>
        <v>18</v>
      </c>
      <c r="O21" s="5" t="n">
        <f aca="false">IFERROR(N21/(N21+SUMIFS(Pareado!$U$2:$U$65,Pareado!$F$2:$F$65,"Bug plantado",Pareado!$C$2:$C$65,"Unitário",Pareado!$D$2:$D$65,"ZS",Pareado!$Y$2:$Y$65,"executa")),0)</f>
        <v>1</v>
      </c>
      <c r="P21" s="4" t="n">
        <f aca="false">COUNTIFS(Pareado!$F$2:$F$65,"Bug plantado",Pareado!$C$2:$C$65,"Unitário",Pareado!$D$2:$D$65,"ZS",Pareado!$V$2:$V$65,1)</f>
        <v>2</v>
      </c>
      <c r="Q21" s="4" t="n">
        <f aca="false">SUMIFS(Pareado!$W$2:$W$65,Pareado!$F$2:$F$65,"Bug plantado",Pareado!$C$2:$C$65,"Unitário",Pareado!$D$2:$D$65,"ZS")</f>
        <v>0</v>
      </c>
      <c r="R21" s="4" t="n">
        <f aca="false">COUNTIFS(Pareado!$F$2:$F$65,"Bug plantado",Pareado!$C$2:$C$65,"Unitário",Pareado!$D$2:$D$65,"ZS",Pareado!$W$2:$W$65,3)</f>
        <v>0</v>
      </c>
      <c r="S21" s="4" t="n">
        <f aca="false">COUNTIFS(Pareado!$F$2:$F$65,"Bug plantado",Pareado!$C$2:$C$65,"Unitário",Pareado!$D$2:$D$65,"ZS",Pareado!$Y$2:$Y$65,"&lt;&gt;executa")</f>
        <v>0</v>
      </c>
      <c r="T21" s="4" t="n">
        <f aca="false">SUMIFS(Pareado!$AA$2:$AA$65,Pareado!$F$2:$F$65,"Bug plantado",Pareado!$C$2:$C$65,"Unitário",Pareado!$D$2:$D$65,"ZS")</f>
        <v>0</v>
      </c>
      <c r="U21" s="4" t="n">
        <f aca="false">COUNTIFS(Pareado!$F$2:$F$65,"Bug plantado",Pareado!$C$2:$C$65,"Unitário",Pareado!$D$2:$D$65,"ZS",Pareado!$AF$2:$AF$65,"ChatGPT")</f>
        <v>2</v>
      </c>
      <c r="V21" s="4" t="n">
        <f aca="false">COUNTIFS(Pareado!$F$2:$F$65,"Bug plantado",Pareado!$C$2:$C$65,"Unitário",Pareado!$D$2:$D$65,"ZS",Pareado!$AF$2:$AF$65,"empate")</f>
        <v>0</v>
      </c>
      <c r="W21" s="4" t="n">
        <f aca="false">COUNTIFS(Pareado!$F$2:$F$65,"Bug plantado",Pareado!$C$2:$C$65,"Unitário",Pareado!$D$2:$D$65,"ZS",Pareado!$AF$2:$AF$65,"Gemini")</f>
        <v>0</v>
      </c>
      <c r="X21" s="4" t="n">
        <f aca="false">COUNTIFS(Pareado!$F$2:$F$65,"Bug plantado",Pareado!$C$2:$C$65,"Unitário",Pareado!$D$2:$D$65,"ZS",Pareado!$AG$2:$AG$65,"ChatGPT")</f>
        <v>0</v>
      </c>
      <c r="Y21" s="4" t="n">
        <f aca="false">COUNTIFS(Pareado!$F$2:$F$65,"Bug plantado",Pareado!$C$2:$C$65,"Unitário",Pareado!$D$2:$D$65,"ZS",Pareado!$AG$2:$AG$65,"empate")</f>
        <v>2</v>
      </c>
      <c r="Z21" s="4" t="n">
        <f aca="false">COUNTIFS(Pareado!$F$2:$F$65,"Bug plantado",Pareado!$C$2:$C$65,"Unitário",Pareado!$D$2:$D$65,"ZS",Pareado!$AG$2:$AG$65,"Gemini")</f>
        <v>0</v>
      </c>
    </row>
    <row r="22" customFormat="false" ht="15" hidden="false" customHeight="false" outlineLevel="0" collapsed="false">
      <c r="A22" s="4" t="s">
        <v>47</v>
      </c>
      <c r="B22" s="4" t="s">
        <v>44</v>
      </c>
      <c r="C22" s="4" t="s">
        <v>56</v>
      </c>
      <c r="D22" s="4" t="n">
        <f aca="false">COUNTIFS(Pareado!$F$2:$F$65,"Bug plantado",Pareado!$C$2:$C$65,"Unitário",Pareado!$D$2:$D$65,"FS")</f>
        <v>2</v>
      </c>
      <c r="E22" s="4" t="n">
        <f aca="false">SUMIFS(Pareado!$I$2:$I$65,Pareado!$F$2:$F$65,"Bug plantado",Pareado!$C$2:$C$65,"Unitário",Pareado!$D$2:$D$65,"FS")</f>
        <v>12</v>
      </c>
      <c r="F22" s="4" t="n">
        <f aca="false">SUMIFS(Pareado!$J$2:$J$65,Pareado!$F$2:$F$65,"Bug plantado",Pareado!$C$2:$C$65,"Unitário",Pareado!$D$2:$D$65,"FS")</f>
        <v>11</v>
      </c>
      <c r="G22" s="5" t="n">
        <f aca="false">IFERROR(F22/(F22+SUMIFS(Pareado!$K$2:$K$65,Pareado!$F$2:$F$65,"Bug plantado",Pareado!$C$2:$C$65,"Unitário",Pareado!$D$2:$D$65,"FS",Pareado!$O$2:$O$65,"executa")),0)</f>
        <v>0.916666666666667</v>
      </c>
      <c r="H22" s="4" t="n">
        <f aca="false">COUNTIFS(Pareado!$F$2:$F$65,"Bug plantado",Pareado!$C$2:$C$65,"Unitário",Pareado!$D$2:$D$65,"FS",Pareado!$L$2:$L$65,1)</f>
        <v>1</v>
      </c>
      <c r="I22" s="4" t="n">
        <f aca="false">SUMIFS(Pareado!$M$2:$M$65,Pareado!$F$2:$F$65,"Bug plantado",Pareado!$C$2:$C$65,"Unitário",Pareado!$D$2:$D$65,"FS")</f>
        <v>1</v>
      </c>
      <c r="J22" s="4" t="n">
        <f aca="false">COUNTIFS(Pareado!$F$2:$F$65,"Bug plantado",Pareado!$C$2:$C$65,"Unitário",Pareado!$D$2:$D$65,"FS",Pareado!$M$2:$M$65,3)</f>
        <v>0</v>
      </c>
      <c r="K22" s="4" t="n">
        <f aca="false">COUNTIFS(Pareado!$F$2:$F$65,"Bug plantado",Pareado!$C$2:$C$65,"Unitário",Pareado!$D$2:$D$65,"FS",Pareado!$O$2:$O$65,"&lt;&gt;executa")</f>
        <v>0</v>
      </c>
      <c r="L22" s="4" t="n">
        <f aca="false">COUNTIFS(Pareado!$F$2:$F$65,"Bug plantado",Pareado!$C$2:$C$65,"Unitário",Pareado!$D$2:$D$65,"FS",Pareado!$P$2:$P$65,"Sim")</f>
        <v>0</v>
      </c>
      <c r="M22" s="4" t="n">
        <f aca="false">SUMIFS(Pareado!$S$2:$S$65,Pareado!$F$2:$F$65,"Bug plantado",Pareado!$C$2:$C$65,"Unitário",Pareado!$D$2:$D$65,"FS")</f>
        <v>11</v>
      </c>
      <c r="N22" s="4" t="n">
        <f aca="false">SUMIFS(Pareado!$T$2:$T$65,Pareado!$F$2:$F$65,"Bug plantado",Pareado!$C$2:$C$65,"Unitário",Pareado!$D$2:$D$65,"FS")</f>
        <v>11</v>
      </c>
      <c r="O22" s="5" t="n">
        <f aca="false">IFERROR(N22/(N22+SUMIFS(Pareado!$U$2:$U$65,Pareado!$F$2:$F$65,"Bug plantado",Pareado!$C$2:$C$65,"Unitário",Pareado!$D$2:$D$65,"FS",Pareado!$Y$2:$Y$65,"executa")),0)</f>
        <v>1</v>
      </c>
      <c r="P22" s="4" t="n">
        <f aca="false">COUNTIFS(Pareado!$F$2:$F$65,"Bug plantado",Pareado!$C$2:$C$65,"Unitário",Pareado!$D$2:$D$65,"FS",Pareado!$V$2:$V$65,1)</f>
        <v>2</v>
      </c>
      <c r="Q22" s="4" t="n">
        <f aca="false">SUMIFS(Pareado!$W$2:$W$65,Pareado!$F$2:$F$65,"Bug plantado",Pareado!$C$2:$C$65,"Unitário",Pareado!$D$2:$D$65,"FS")</f>
        <v>0</v>
      </c>
      <c r="R22" s="4" t="n">
        <f aca="false">COUNTIFS(Pareado!$F$2:$F$65,"Bug plantado",Pareado!$C$2:$C$65,"Unitário",Pareado!$D$2:$D$65,"FS",Pareado!$W$2:$W$65,3)</f>
        <v>0</v>
      </c>
      <c r="S22" s="4" t="n">
        <f aca="false">COUNTIFS(Pareado!$F$2:$F$65,"Bug plantado",Pareado!$C$2:$C$65,"Unitário",Pareado!$D$2:$D$65,"FS",Pareado!$Y$2:$Y$65,"&lt;&gt;executa")</f>
        <v>0</v>
      </c>
      <c r="T22" s="4" t="n">
        <f aca="false">SUMIFS(Pareado!$AA$2:$AA$65,Pareado!$F$2:$F$65,"Bug plantado",Pareado!$C$2:$C$65,"Unitário",Pareado!$D$2:$D$65,"FS")</f>
        <v>0</v>
      </c>
      <c r="U22" s="4" t="n">
        <f aca="false">COUNTIFS(Pareado!$F$2:$F$65,"Bug plantado",Pareado!$C$2:$C$65,"Unitário",Pareado!$D$2:$D$65,"FS",Pareado!$AF$2:$AF$65,"ChatGPT")</f>
        <v>1</v>
      </c>
      <c r="V22" s="4" t="n">
        <f aca="false">COUNTIFS(Pareado!$F$2:$F$65,"Bug plantado",Pareado!$C$2:$C$65,"Unitário",Pareado!$D$2:$D$65,"FS",Pareado!$AF$2:$AF$65,"empate")</f>
        <v>1</v>
      </c>
      <c r="W22" s="4" t="n">
        <f aca="false">COUNTIFS(Pareado!$F$2:$F$65,"Bug plantado",Pareado!$C$2:$C$65,"Unitário",Pareado!$D$2:$D$65,"FS",Pareado!$AF$2:$AF$65,"Gemini")</f>
        <v>0</v>
      </c>
      <c r="X22" s="4" t="n">
        <f aca="false">COUNTIFS(Pareado!$F$2:$F$65,"Bug plantado",Pareado!$C$2:$C$65,"Unitário",Pareado!$D$2:$D$65,"FS",Pareado!$AG$2:$AG$65,"ChatGPT")</f>
        <v>0</v>
      </c>
      <c r="Y22" s="4" t="n">
        <f aca="false">COUNTIFS(Pareado!$F$2:$F$65,"Bug plantado",Pareado!$C$2:$C$65,"Unitário",Pareado!$D$2:$D$65,"FS",Pareado!$AG$2:$AG$65,"empate")</f>
        <v>1</v>
      </c>
      <c r="Z22" s="4" t="n">
        <f aca="false">COUNTIFS(Pareado!$F$2:$F$65,"Bug plantado",Pareado!$C$2:$C$65,"Unitário",Pareado!$D$2:$D$65,"FS",Pareado!$AG$2:$AG$65,"Gemini")</f>
        <v>1</v>
      </c>
    </row>
    <row r="23" customFormat="false" ht="15" hidden="false" customHeight="false" outlineLevel="0" collapsed="false">
      <c r="A23" s="4" t="s">
        <v>47</v>
      </c>
      <c r="B23" s="4" t="s">
        <v>44</v>
      </c>
      <c r="C23" s="4" t="s">
        <v>61</v>
      </c>
      <c r="D23" s="4" t="n">
        <f aca="false">COUNTIFS(Pareado!$F$2:$F$65,"Bug plantado",Pareado!$C$2:$C$65,"Unitário",Pareado!$D$2:$D$65,"COT")</f>
        <v>2</v>
      </c>
      <c r="E23" s="4" t="n">
        <f aca="false">SUMIFS(Pareado!$I$2:$I$65,Pareado!$F$2:$F$65,"Bug plantado",Pareado!$C$2:$C$65,"Unitário",Pareado!$D$2:$D$65,"COT")</f>
        <v>26</v>
      </c>
      <c r="F23" s="4" t="n">
        <f aca="false">SUMIFS(Pareado!$J$2:$J$65,Pareado!$F$2:$F$65,"Bug plantado",Pareado!$C$2:$C$65,"Unitário",Pareado!$D$2:$D$65,"COT")</f>
        <v>26</v>
      </c>
      <c r="G23" s="5" t="n">
        <f aca="false">IFERROR(F23/(F23+SUMIFS(Pareado!$K$2:$K$65,Pareado!$F$2:$F$65,"Bug plantado",Pareado!$C$2:$C$65,"Unitário",Pareado!$D$2:$D$65,"COT",Pareado!$O$2:$O$65,"executa")),0)</f>
        <v>1</v>
      </c>
      <c r="H23" s="4" t="n">
        <f aca="false">COUNTIFS(Pareado!$F$2:$F$65,"Bug plantado",Pareado!$C$2:$C$65,"Unitário",Pareado!$D$2:$D$65,"COT",Pareado!$L$2:$L$65,1)</f>
        <v>2</v>
      </c>
      <c r="I23" s="4" t="n">
        <f aca="false">SUMIFS(Pareado!$M$2:$M$65,Pareado!$F$2:$F$65,"Bug plantado",Pareado!$C$2:$C$65,"Unitário",Pareado!$D$2:$D$65,"COT")</f>
        <v>0</v>
      </c>
      <c r="J23" s="4" t="n">
        <f aca="false">COUNTIFS(Pareado!$F$2:$F$65,"Bug plantado",Pareado!$C$2:$C$65,"Unitário",Pareado!$D$2:$D$65,"COT",Pareado!$M$2:$M$65,3)</f>
        <v>0</v>
      </c>
      <c r="K23" s="4" t="n">
        <f aca="false">COUNTIFS(Pareado!$F$2:$F$65,"Bug plantado",Pareado!$C$2:$C$65,"Unitário",Pareado!$D$2:$D$65,"COT",Pareado!$O$2:$O$65,"&lt;&gt;executa")</f>
        <v>0</v>
      </c>
      <c r="L23" s="4" t="n">
        <f aca="false">COUNTIFS(Pareado!$F$2:$F$65,"Bug plantado",Pareado!$C$2:$C$65,"Unitário",Pareado!$D$2:$D$65,"COT",Pareado!$P$2:$P$65,"Sim")</f>
        <v>0</v>
      </c>
      <c r="M23" s="4" t="n">
        <f aca="false">SUMIFS(Pareado!$S$2:$S$65,Pareado!$F$2:$F$65,"Bug plantado",Pareado!$C$2:$C$65,"Unitário",Pareado!$D$2:$D$65,"COT")</f>
        <v>18</v>
      </c>
      <c r="N23" s="4" t="n">
        <f aca="false">SUMIFS(Pareado!$T$2:$T$65,Pareado!$F$2:$F$65,"Bug plantado",Pareado!$C$2:$C$65,"Unitário",Pareado!$D$2:$D$65,"COT")</f>
        <v>18</v>
      </c>
      <c r="O23" s="5" t="n">
        <f aca="false">IFERROR(N23/(N23+SUMIFS(Pareado!$U$2:$U$65,Pareado!$F$2:$F$65,"Bug plantado",Pareado!$C$2:$C$65,"Unitário",Pareado!$D$2:$D$65,"COT",Pareado!$Y$2:$Y$65,"executa")),0)</f>
        <v>1</v>
      </c>
      <c r="P23" s="4" t="n">
        <f aca="false">COUNTIFS(Pareado!$F$2:$F$65,"Bug plantado",Pareado!$C$2:$C$65,"Unitário",Pareado!$D$2:$D$65,"COT",Pareado!$V$2:$V$65,1)</f>
        <v>2</v>
      </c>
      <c r="Q23" s="4" t="n">
        <f aca="false">SUMIFS(Pareado!$W$2:$W$65,Pareado!$F$2:$F$65,"Bug plantado",Pareado!$C$2:$C$65,"Unitário",Pareado!$D$2:$D$65,"COT")</f>
        <v>0</v>
      </c>
      <c r="R23" s="4" t="n">
        <f aca="false">COUNTIFS(Pareado!$F$2:$F$65,"Bug plantado",Pareado!$C$2:$C$65,"Unitário",Pareado!$D$2:$D$65,"COT",Pareado!$W$2:$W$65,3)</f>
        <v>0</v>
      </c>
      <c r="S23" s="4" t="n">
        <f aca="false">COUNTIFS(Pareado!$F$2:$F$65,"Bug plantado",Pareado!$C$2:$C$65,"Unitário",Pareado!$D$2:$D$65,"COT",Pareado!$Y$2:$Y$65,"&lt;&gt;executa")</f>
        <v>0</v>
      </c>
      <c r="T23" s="4" t="n">
        <f aca="false">SUMIFS(Pareado!$AA$2:$AA$65,Pareado!$F$2:$F$65,"Bug plantado",Pareado!$C$2:$C$65,"Unitário",Pareado!$D$2:$D$65,"COT")</f>
        <v>1</v>
      </c>
      <c r="U23" s="4" t="n">
        <f aca="false">COUNTIFS(Pareado!$F$2:$F$65,"Bug plantado",Pareado!$C$2:$C$65,"Unitário",Pareado!$D$2:$D$65,"COT",Pareado!$AF$2:$AF$65,"ChatGPT")</f>
        <v>2</v>
      </c>
      <c r="V23" s="4" t="n">
        <f aca="false">COUNTIFS(Pareado!$F$2:$F$65,"Bug plantado",Pareado!$C$2:$C$65,"Unitário",Pareado!$D$2:$D$65,"COT",Pareado!$AF$2:$AF$65,"empate")</f>
        <v>0</v>
      </c>
      <c r="W23" s="4" t="n">
        <f aca="false">COUNTIFS(Pareado!$F$2:$F$65,"Bug plantado",Pareado!$C$2:$C$65,"Unitário",Pareado!$D$2:$D$65,"COT",Pareado!$AF$2:$AF$65,"Gemini")</f>
        <v>0</v>
      </c>
      <c r="X23" s="4" t="n">
        <f aca="false">COUNTIFS(Pareado!$F$2:$F$65,"Bug plantado",Pareado!$C$2:$C$65,"Unitário",Pareado!$D$2:$D$65,"COT",Pareado!$AG$2:$AG$65,"ChatGPT")</f>
        <v>0</v>
      </c>
      <c r="Y23" s="4" t="n">
        <f aca="false">COUNTIFS(Pareado!$F$2:$F$65,"Bug plantado",Pareado!$C$2:$C$65,"Unitário",Pareado!$D$2:$D$65,"COT",Pareado!$AG$2:$AG$65,"empate")</f>
        <v>2</v>
      </c>
      <c r="Z23" s="4" t="n">
        <f aca="false">COUNTIFS(Pareado!$F$2:$F$65,"Bug plantado",Pareado!$C$2:$C$65,"Unitário",Pareado!$D$2:$D$65,"COT",Pareado!$AG$2:$AG$65,"Gemini")</f>
        <v>0</v>
      </c>
    </row>
    <row r="24" customFormat="false" ht="15" hidden="false" customHeight="false" outlineLevel="0" collapsed="false">
      <c r="A24" s="7" t="s">
        <v>47</v>
      </c>
      <c r="B24" s="7" t="s">
        <v>44</v>
      </c>
      <c r="C24" s="7" t="s">
        <v>206</v>
      </c>
      <c r="D24" s="7" t="n">
        <f aca="false">COUNTIFS(Pareado!$F$2:$F$65,"Bug plantado",Pareado!$C$2:$C$65,"Unitário")</f>
        <v>6</v>
      </c>
      <c r="E24" s="7" t="n">
        <f aca="false">SUMIFS(Pareado!$I$2:$I$65,Pareado!$F$2:$F$65,"Bug plantado",Pareado!$C$2:$C$65,"Unitário")</f>
        <v>62</v>
      </c>
      <c r="F24" s="7" t="n">
        <f aca="false">SUMIFS(Pareado!$J$2:$J$65,Pareado!$F$2:$F$65,"Bug plantado",Pareado!$C$2:$C$65,"Unitário")</f>
        <v>61</v>
      </c>
      <c r="G24" s="8" t="n">
        <f aca="false">IFERROR(F24/(F24+SUMIFS(Pareado!$K$2:$K$65,Pareado!$F$2:$F$65,"Bug plantado",Pareado!$C$2:$C$65,"Unitário",Pareado!$O$2:$O$65,"executa")),0)</f>
        <v>0.983870967741936</v>
      </c>
      <c r="H24" s="7" t="n">
        <f aca="false">COUNTIFS(Pareado!$F$2:$F$65,"Bug plantado",Pareado!$C$2:$C$65,"Unitário",Pareado!$L$2:$L$65,1)</f>
        <v>5</v>
      </c>
      <c r="I24" s="7" t="n">
        <f aca="false">SUMIFS(Pareado!$M$2:$M$65,Pareado!$F$2:$F$65,"Bug plantado",Pareado!$C$2:$C$65,"Unitário")</f>
        <v>1</v>
      </c>
      <c r="J24" s="7" t="n">
        <f aca="false">COUNTIFS(Pareado!$F$2:$F$65,"Bug plantado",Pareado!$C$2:$C$65,"Unitário",Pareado!$M$2:$M$65,3)</f>
        <v>0</v>
      </c>
      <c r="K24" s="7" t="n">
        <f aca="false">COUNTIFS(Pareado!$F$2:$F$65,"Bug plantado",Pareado!$C$2:$C$65,"Unitário",Pareado!$O$2:$O$65,"&lt;&gt;executa")</f>
        <v>0</v>
      </c>
      <c r="L24" s="7" t="n">
        <f aca="false">COUNTIFS(Pareado!$F$2:$F$65,"Bug plantado",Pareado!$C$2:$C$65,"Unitário",Pareado!$P$2:$P$65,"Sim")</f>
        <v>0</v>
      </c>
      <c r="M24" s="7" t="n">
        <f aca="false">SUMIFS(Pareado!$S$2:$S$65,Pareado!$F$2:$F$65,"Bug plantado",Pareado!$C$2:$C$65,"Unitário")</f>
        <v>47</v>
      </c>
      <c r="N24" s="7" t="n">
        <f aca="false">SUMIFS(Pareado!$T$2:$T$65,Pareado!$F$2:$F$65,"Bug plantado",Pareado!$C$2:$C$65,"Unitário")</f>
        <v>47</v>
      </c>
      <c r="O24" s="8" t="n">
        <f aca="false">IFERROR(N24/(N24+SUMIFS(Pareado!$U$2:$U$65,Pareado!$F$2:$F$65,"Bug plantado",Pareado!$C$2:$C$65,"Unitário",Pareado!$Y$2:$Y$65,"executa")),0)</f>
        <v>1</v>
      </c>
      <c r="P24" s="7" t="n">
        <f aca="false">COUNTIFS(Pareado!$F$2:$F$65,"Bug plantado",Pareado!$C$2:$C$65,"Unitário",Pareado!$V$2:$V$65,1)</f>
        <v>6</v>
      </c>
      <c r="Q24" s="7" t="n">
        <f aca="false">SUMIFS(Pareado!$W$2:$W$65,Pareado!$F$2:$F$65,"Bug plantado",Pareado!$C$2:$C$65,"Unitário")</f>
        <v>0</v>
      </c>
      <c r="R24" s="7" t="n">
        <f aca="false">COUNTIFS(Pareado!$F$2:$F$65,"Bug plantado",Pareado!$C$2:$C$65,"Unitário",Pareado!$W$2:$W$65,3)</f>
        <v>0</v>
      </c>
      <c r="S24" s="7" t="n">
        <f aca="false">COUNTIFS(Pareado!$F$2:$F$65,"Bug plantado",Pareado!$C$2:$C$65,"Unitário",Pareado!$Y$2:$Y$65,"&lt;&gt;executa")</f>
        <v>0</v>
      </c>
      <c r="T24" s="7" t="n">
        <f aca="false">SUMIFS(Pareado!$AA$2:$AA$65,Pareado!$F$2:$F$65,"Bug plantado",Pareado!$C$2:$C$65,"Unitário")</f>
        <v>1</v>
      </c>
      <c r="U24" s="7" t="n">
        <f aca="false">COUNTIFS(Pareado!$F$2:$F$65,"Bug plantado",Pareado!$C$2:$C$65,"Unitário",Pareado!$AF$2:$AF$65,"ChatGPT")</f>
        <v>5</v>
      </c>
      <c r="V24" s="7" t="n">
        <f aca="false">COUNTIFS(Pareado!$F$2:$F$65,"Bug plantado",Pareado!$C$2:$C$65,"Unitário",Pareado!$AF$2:$AF$65,"empate")</f>
        <v>1</v>
      </c>
      <c r="W24" s="7" t="n">
        <f aca="false">COUNTIFS(Pareado!$F$2:$F$65,"Bug plantado",Pareado!$C$2:$C$65,"Unitário",Pareado!$AF$2:$AF$65,"Gemini")</f>
        <v>0</v>
      </c>
      <c r="X24" s="7" t="n">
        <f aca="false">COUNTIFS(Pareado!$F$2:$F$65,"Bug plantado",Pareado!$C$2:$C$65,"Unitário",Pareado!$AG$2:$AG$65,"ChatGPT")</f>
        <v>0</v>
      </c>
      <c r="Y24" s="7" t="n">
        <f aca="false">COUNTIFS(Pareado!$F$2:$F$65,"Bug plantado",Pareado!$C$2:$C$65,"Unitário",Pareado!$AG$2:$AG$65,"empate")</f>
        <v>5</v>
      </c>
      <c r="Z24" s="7" t="n">
        <f aca="false">COUNTIFS(Pareado!$F$2:$F$65,"Bug plantado",Pareado!$C$2:$C$65,"Unitário",Pareado!$AG$2:$AG$65,"Gemini")</f>
        <v>1</v>
      </c>
    </row>
    <row r="25" customFormat="false" ht="15" hidden="false" customHeight="false" outlineLevel="0" collapsed="false">
      <c r="A25" s="4" t="s">
        <v>47</v>
      </c>
      <c r="B25" s="4" t="s">
        <v>68</v>
      </c>
      <c r="C25" s="4" t="s">
        <v>45</v>
      </c>
      <c r="D25" s="4" t="n">
        <f aca="false">COUNTIFS(Pareado!$F$2:$F$65,"Bug plantado",Pareado!$C$2:$C$65,"Widget",Pareado!$D$2:$D$65,"ZS")</f>
        <v>2</v>
      </c>
      <c r="E25" s="4" t="n">
        <f aca="false">SUMIFS(Pareado!$I$2:$I$65,Pareado!$F$2:$F$65,"Bug plantado",Pareado!$C$2:$C$65,"Widget",Pareado!$D$2:$D$65,"ZS")</f>
        <v>28</v>
      </c>
      <c r="F25" s="4" t="n">
        <f aca="false">SUMIFS(Pareado!$J$2:$J$65,Pareado!$F$2:$F$65,"Bug plantado",Pareado!$C$2:$C$65,"Widget",Pareado!$D$2:$D$65,"ZS")</f>
        <v>21</v>
      </c>
      <c r="G25" s="5" t="n">
        <f aca="false">IFERROR(F25/(F25+SUMIFS(Pareado!$K$2:$K$65,Pareado!$F$2:$F$65,"Bug plantado",Pareado!$C$2:$C$65,"Widget",Pareado!$D$2:$D$65,"ZS",Pareado!$O$2:$O$65,"executa")),0)</f>
        <v>0.954545454545455</v>
      </c>
      <c r="H25" s="4" t="n">
        <f aca="false">COUNTIFS(Pareado!$F$2:$F$65,"Bug plantado",Pareado!$C$2:$C$65,"Widget",Pareado!$D$2:$D$65,"ZS",Pareado!$L$2:$L$65,1)</f>
        <v>1</v>
      </c>
      <c r="I25" s="4" t="n">
        <f aca="false">SUMIFS(Pareado!$M$2:$M$65,Pareado!$F$2:$F$65,"Bug plantado",Pareado!$C$2:$C$65,"Widget",Pareado!$D$2:$D$65,"ZS")</f>
        <v>3</v>
      </c>
      <c r="J25" s="4" t="n">
        <f aca="false">COUNTIFS(Pareado!$F$2:$F$65,"Bug plantado",Pareado!$C$2:$C$65,"Widget",Pareado!$D$2:$D$65,"ZS",Pareado!$M$2:$M$65,3)</f>
        <v>1</v>
      </c>
      <c r="K25" s="4" t="n">
        <f aca="false">COUNTIFS(Pareado!$F$2:$F$65,"Bug plantado",Pareado!$C$2:$C$65,"Widget",Pareado!$D$2:$D$65,"ZS",Pareado!$O$2:$O$65,"&lt;&gt;executa")</f>
        <v>0</v>
      </c>
      <c r="L25" s="4" t="n">
        <f aca="false">COUNTIFS(Pareado!$F$2:$F$65,"Bug plantado",Pareado!$C$2:$C$65,"Widget",Pareado!$D$2:$D$65,"ZS",Pareado!$P$2:$P$65,"Sim")</f>
        <v>0</v>
      </c>
      <c r="M25" s="4" t="n">
        <f aca="false">SUMIFS(Pareado!$S$2:$S$65,Pareado!$F$2:$F$65,"Bug plantado",Pareado!$C$2:$C$65,"Widget",Pareado!$D$2:$D$65,"ZS")</f>
        <v>16</v>
      </c>
      <c r="N25" s="4" t="n">
        <f aca="false">SUMIFS(Pareado!$T$2:$T$65,Pareado!$F$2:$F$65,"Bug plantado",Pareado!$C$2:$C$65,"Widget",Pareado!$D$2:$D$65,"ZS")</f>
        <v>15</v>
      </c>
      <c r="O25" s="5" t="n">
        <f aca="false">IFERROR(N25/(N25+SUMIFS(Pareado!$U$2:$U$65,Pareado!$F$2:$F$65,"Bug plantado",Pareado!$C$2:$C$65,"Widget",Pareado!$D$2:$D$65,"ZS",Pareado!$Y$2:$Y$65,"executa")),0)</f>
        <v>0.9375</v>
      </c>
      <c r="P25" s="4" t="n">
        <f aca="false">COUNTIFS(Pareado!$F$2:$F$65,"Bug plantado",Pareado!$C$2:$C$65,"Widget",Pareado!$D$2:$D$65,"ZS",Pareado!$V$2:$V$65,1)</f>
        <v>1</v>
      </c>
      <c r="Q25" s="4" t="n">
        <f aca="false">SUMIFS(Pareado!$W$2:$W$65,Pareado!$F$2:$F$65,"Bug plantado",Pareado!$C$2:$C$65,"Widget",Pareado!$D$2:$D$65,"ZS")</f>
        <v>2</v>
      </c>
      <c r="R25" s="4" t="n">
        <f aca="false">COUNTIFS(Pareado!$F$2:$F$65,"Bug plantado",Pareado!$C$2:$C$65,"Widget",Pareado!$D$2:$D$65,"ZS",Pareado!$W$2:$W$65,3)</f>
        <v>0</v>
      </c>
      <c r="S25" s="4" t="n">
        <f aca="false">COUNTIFS(Pareado!$F$2:$F$65,"Bug plantado",Pareado!$C$2:$C$65,"Widget",Pareado!$D$2:$D$65,"ZS",Pareado!$Y$2:$Y$65,"&lt;&gt;executa")</f>
        <v>0</v>
      </c>
      <c r="T25" s="4" t="n">
        <f aca="false">SUMIFS(Pareado!$AA$2:$AA$65,Pareado!$F$2:$F$65,"Bug plantado",Pareado!$C$2:$C$65,"Widget",Pareado!$D$2:$D$65,"ZS")</f>
        <v>1</v>
      </c>
      <c r="U25" s="4" t="n">
        <f aca="false">COUNTIFS(Pareado!$F$2:$F$65,"Bug plantado",Pareado!$C$2:$C$65,"Widget",Pareado!$D$2:$D$65,"ZS",Pareado!$AF$2:$AF$65,"ChatGPT")</f>
        <v>2</v>
      </c>
      <c r="V25" s="4" t="n">
        <f aca="false">COUNTIFS(Pareado!$F$2:$F$65,"Bug plantado",Pareado!$C$2:$C$65,"Widget",Pareado!$D$2:$D$65,"ZS",Pareado!$AF$2:$AF$65,"empate")</f>
        <v>0</v>
      </c>
      <c r="W25" s="4" t="n">
        <f aca="false">COUNTIFS(Pareado!$F$2:$F$65,"Bug plantado",Pareado!$C$2:$C$65,"Widget",Pareado!$D$2:$D$65,"ZS",Pareado!$AF$2:$AF$65,"Gemini")</f>
        <v>0</v>
      </c>
      <c r="X25" s="4" t="n">
        <f aca="false">COUNTIFS(Pareado!$F$2:$F$65,"Bug plantado",Pareado!$C$2:$C$65,"Widget",Pareado!$D$2:$D$65,"ZS",Pareado!$AG$2:$AG$65,"ChatGPT")</f>
        <v>0</v>
      </c>
      <c r="Y25" s="4" t="n">
        <f aca="false">COUNTIFS(Pareado!$F$2:$F$65,"Bug plantado",Pareado!$C$2:$C$65,"Widget",Pareado!$D$2:$D$65,"ZS",Pareado!$AG$2:$AG$65,"empate")</f>
        <v>1</v>
      </c>
      <c r="Z25" s="4" t="n">
        <f aca="false">COUNTIFS(Pareado!$F$2:$F$65,"Bug plantado",Pareado!$C$2:$C$65,"Widget",Pareado!$D$2:$D$65,"ZS",Pareado!$AG$2:$AG$65,"Gemini")</f>
        <v>1</v>
      </c>
    </row>
    <row r="26" customFormat="false" ht="15" hidden="false" customHeight="false" outlineLevel="0" collapsed="false">
      <c r="A26" s="4" t="s">
        <v>47</v>
      </c>
      <c r="B26" s="4" t="s">
        <v>68</v>
      </c>
      <c r="C26" s="4" t="s">
        <v>56</v>
      </c>
      <c r="D26" s="4" t="n">
        <f aca="false">COUNTIFS(Pareado!$F$2:$F$65,"Bug plantado",Pareado!$C$2:$C$65,"Widget",Pareado!$D$2:$D$65,"FS")</f>
        <v>2</v>
      </c>
      <c r="E26" s="4" t="n">
        <f aca="false">SUMIFS(Pareado!$I$2:$I$65,Pareado!$F$2:$F$65,"Bug plantado",Pareado!$C$2:$C$65,"Widget",Pareado!$D$2:$D$65,"FS")</f>
        <v>20</v>
      </c>
      <c r="F26" s="4" t="n">
        <f aca="false">SUMIFS(Pareado!$J$2:$J$65,Pareado!$F$2:$F$65,"Bug plantado",Pareado!$C$2:$C$65,"Widget",Pareado!$D$2:$D$65,"FS")</f>
        <v>0</v>
      </c>
      <c r="G26" s="5" t="n">
        <f aca="false">IFERROR(F26/(F26+SUMIFS(Pareado!$K$2:$K$65,Pareado!$F$2:$F$65,"Bug plantado",Pareado!$C$2:$C$65,"Widget",Pareado!$D$2:$D$65,"FS",Pareado!$O$2:$O$65,"executa")),0)</f>
        <v>0</v>
      </c>
      <c r="H26" s="4" t="n">
        <f aca="false">COUNTIFS(Pareado!$F$2:$F$65,"Bug plantado",Pareado!$C$2:$C$65,"Widget",Pareado!$D$2:$D$65,"FS",Pareado!$L$2:$L$65,1)</f>
        <v>0</v>
      </c>
      <c r="I26" s="4" t="n">
        <f aca="false">SUMIFS(Pareado!$M$2:$M$65,Pareado!$F$2:$F$65,"Bug plantado",Pareado!$C$2:$C$65,"Widget",Pareado!$D$2:$D$65,"FS")</f>
        <v>6</v>
      </c>
      <c r="J26" s="4" t="n">
        <f aca="false">COUNTIFS(Pareado!$F$2:$F$65,"Bug plantado",Pareado!$C$2:$C$65,"Widget",Pareado!$D$2:$D$65,"FS",Pareado!$M$2:$M$65,3)</f>
        <v>2</v>
      </c>
      <c r="K26" s="4" t="n">
        <f aca="false">COUNTIFS(Pareado!$F$2:$F$65,"Bug plantado",Pareado!$C$2:$C$65,"Widget",Pareado!$D$2:$D$65,"FS",Pareado!$O$2:$O$65,"&lt;&gt;executa")</f>
        <v>2</v>
      </c>
      <c r="L26" s="4" t="n">
        <f aca="false">COUNTIFS(Pareado!$F$2:$F$65,"Bug plantado",Pareado!$C$2:$C$65,"Widget",Pareado!$D$2:$D$65,"FS",Pareado!$P$2:$P$65,"Sim")</f>
        <v>0</v>
      </c>
      <c r="M26" s="4" t="n">
        <f aca="false">SUMIFS(Pareado!$S$2:$S$65,Pareado!$F$2:$F$65,"Bug plantado",Pareado!$C$2:$C$65,"Widget",Pareado!$D$2:$D$65,"FS")</f>
        <v>14</v>
      </c>
      <c r="N26" s="4" t="n">
        <f aca="false">SUMIFS(Pareado!$T$2:$T$65,Pareado!$F$2:$F$65,"Bug plantado",Pareado!$C$2:$C$65,"Widget",Pareado!$D$2:$D$65,"FS")</f>
        <v>12</v>
      </c>
      <c r="O26" s="5" t="n">
        <f aca="false">IFERROR(N26/(N26+SUMIFS(Pareado!$U$2:$U$65,Pareado!$F$2:$F$65,"Bug plantado",Pareado!$C$2:$C$65,"Widget",Pareado!$D$2:$D$65,"FS",Pareado!$Y$2:$Y$65,"executa")),0)</f>
        <v>0.857142857142857</v>
      </c>
      <c r="P26" s="4" t="n">
        <f aca="false">COUNTIFS(Pareado!$F$2:$F$65,"Bug plantado",Pareado!$C$2:$C$65,"Widget",Pareado!$D$2:$D$65,"FS",Pareado!$V$2:$V$65,1)</f>
        <v>1</v>
      </c>
      <c r="Q26" s="4" t="n">
        <f aca="false">SUMIFS(Pareado!$W$2:$W$65,Pareado!$F$2:$F$65,"Bug plantado",Pareado!$C$2:$C$65,"Widget",Pareado!$D$2:$D$65,"FS")</f>
        <v>5</v>
      </c>
      <c r="R26" s="4" t="n">
        <f aca="false">COUNTIFS(Pareado!$F$2:$F$65,"Bug plantado",Pareado!$C$2:$C$65,"Widget",Pareado!$D$2:$D$65,"FS",Pareado!$W$2:$W$65,3)</f>
        <v>1</v>
      </c>
      <c r="S26" s="4" t="n">
        <f aca="false">COUNTIFS(Pareado!$F$2:$F$65,"Bug plantado",Pareado!$C$2:$C$65,"Widget",Pareado!$D$2:$D$65,"FS",Pareado!$Y$2:$Y$65,"&lt;&gt;executa")</f>
        <v>0</v>
      </c>
      <c r="T26" s="4" t="n">
        <f aca="false">SUMIFS(Pareado!$AA$2:$AA$65,Pareado!$F$2:$F$65,"Bug plantado",Pareado!$C$2:$C$65,"Widget",Pareado!$D$2:$D$65,"FS")</f>
        <v>0</v>
      </c>
      <c r="U26" s="4" t="n">
        <f aca="false">COUNTIFS(Pareado!$F$2:$F$65,"Bug plantado",Pareado!$C$2:$C$65,"Widget",Pareado!$D$2:$D$65,"FS",Pareado!$AF$2:$AF$65,"ChatGPT")</f>
        <v>2</v>
      </c>
      <c r="V26" s="4" t="n">
        <f aca="false">COUNTIFS(Pareado!$F$2:$F$65,"Bug plantado",Pareado!$C$2:$C$65,"Widget",Pareado!$D$2:$D$65,"FS",Pareado!$AF$2:$AF$65,"empate")</f>
        <v>0</v>
      </c>
      <c r="W26" s="4" t="n">
        <f aca="false">COUNTIFS(Pareado!$F$2:$F$65,"Bug plantado",Pareado!$C$2:$C$65,"Widget",Pareado!$D$2:$D$65,"FS",Pareado!$AF$2:$AF$65,"Gemini")</f>
        <v>0</v>
      </c>
      <c r="X26" s="4" t="n">
        <f aca="false">COUNTIFS(Pareado!$F$2:$F$65,"Bug plantado",Pareado!$C$2:$C$65,"Widget",Pareado!$D$2:$D$65,"FS",Pareado!$AG$2:$AG$65,"ChatGPT")</f>
        <v>0</v>
      </c>
      <c r="Y26" s="4" t="n">
        <f aca="false">COUNTIFS(Pareado!$F$2:$F$65,"Bug plantado",Pareado!$C$2:$C$65,"Widget",Pareado!$D$2:$D$65,"FS",Pareado!$AG$2:$AG$65,"empate")</f>
        <v>0</v>
      </c>
      <c r="Z26" s="4" t="n">
        <f aca="false">COUNTIFS(Pareado!$F$2:$F$65,"Bug plantado",Pareado!$C$2:$C$65,"Widget",Pareado!$D$2:$D$65,"FS",Pareado!$AG$2:$AG$65,"Gemini")</f>
        <v>2</v>
      </c>
    </row>
    <row r="27" customFormat="false" ht="15" hidden="false" customHeight="false" outlineLevel="0" collapsed="false">
      <c r="A27" s="4" t="s">
        <v>47</v>
      </c>
      <c r="B27" s="4" t="s">
        <v>68</v>
      </c>
      <c r="C27" s="4" t="s">
        <v>61</v>
      </c>
      <c r="D27" s="4" t="n">
        <f aca="false">COUNTIFS(Pareado!$F$2:$F$65,"Bug plantado",Pareado!$C$2:$C$65,"Widget",Pareado!$D$2:$D$65,"COT")</f>
        <v>2</v>
      </c>
      <c r="E27" s="4" t="n">
        <f aca="false">SUMIFS(Pareado!$I$2:$I$65,Pareado!$F$2:$F$65,"Bug plantado",Pareado!$C$2:$C$65,"Widget",Pareado!$D$2:$D$65,"COT")</f>
        <v>42</v>
      </c>
      <c r="F27" s="4" t="n">
        <f aca="false">SUMIFS(Pareado!$J$2:$J$65,Pareado!$F$2:$F$65,"Bug plantado",Pareado!$C$2:$C$65,"Widget",Pareado!$D$2:$D$65,"COT")</f>
        <v>20</v>
      </c>
      <c r="G27" s="5" t="n">
        <f aca="false">IFERROR(F27/(F27+SUMIFS(Pareado!$K$2:$K$65,Pareado!$F$2:$F$65,"Bug plantado",Pareado!$C$2:$C$65,"Widget",Pareado!$D$2:$D$65,"COT",Pareado!$O$2:$O$65,"executa")),0)</f>
        <v>0.952380952380952</v>
      </c>
      <c r="H27" s="4" t="n">
        <f aca="false">COUNTIFS(Pareado!$F$2:$F$65,"Bug plantado",Pareado!$C$2:$C$65,"Widget",Pareado!$D$2:$D$65,"COT",Pareado!$L$2:$L$65,1)</f>
        <v>0</v>
      </c>
      <c r="I27" s="4" t="n">
        <f aca="false">SUMIFS(Pareado!$M$2:$M$65,Pareado!$F$2:$F$65,"Bug plantado",Pareado!$C$2:$C$65,"Widget",Pareado!$D$2:$D$65,"COT")</f>
        <v>6</v>
      </c>
      <c r="J27" s="4" t="n">
        <f aca="false">COUNTIFS(Pareado!$F$2:$F$65,"Bug plantado",Pareado!$C$2:$C$65,"Widget",Pareado!$D$2:$D$65,"COT",Pareado!$M$2:$M$65,3)</f>
        <v>2</v>
      </c>
      <c r="K27" s="4" t="n">
        <f aca="false">COUNTIFS(Pareado!$F$2:$F$65,"Bug plantado",Pareado!$C$2:$C$65,"Widget",Pareado!$D$2:$D$65,"COT",Pareado!$O$2:$O$65,"&lt;&gt;executa")</f>
        <v>1</v>
      </c>
      <c r="L27" s="4" t="n">
        <f aca="false">COUNTIFS(Pareado!$F$2:$F$65,"Bug plantado",Pareado!$C$2:$C$65,"Widget",Pareado!$D$2:$D$65,"COT",Pareado!$P$2:$P$65,"Sim")</f>
        <v>0</v>
      </c>
      <c r="M27" s="4" t="n">
        <f aca="false">SUMIFS(Pareado!$S$2:$S$65,Pareado!$F$2:$F$65,"Bug plantado",Pareado!$C$2:$C$65,"Widget",Pareado!$D$2:$D$65,"COT")</f>
        <v>19</v>
      </c>
      <c r="N27" s="4" t="n">
        <f aca="false">SUMIFS(Pareado!$T$2:$T$65,Pareado!$F$2:$F$65,"Bug plantado",Pareado!$C$2:$C$65,"Widget",Pareado!$D$2:$D$65,"COT")</f>
        <v>18</v>
      </c>
      <c r="O27" s="5" t="n">
        <f aca="false">IFERROR(N27/(N27+SUMIFS(Pareado!$U$2:$U$65,Pareado!$F$2:$F$65,"Bug plantado",Pareado!$C$2:$C$65,"Widget",Pareado!$D$2:$D$65,"COT",Pareado!$Y$2:$Y$65,"executa")),0)</f>
        <v>0.947368421052632</v>
      </c>
      <c r="P27" s="4" t="n">
        <f aca="false">COUNTIFS(Pareado!$F$2:$F$65,"Bug plantado",Pareado!$C$2:$C$65,"Widget",Pareado!$D$2:$D$65,"COT",Pareado!$V$2:$V$65,1)</f>
        <v>1</v>
      </c>
      <c r="Q27" s="4" t="n">
        <f aca="false">SUMIFS(Pareado!$W$2:$W$65,Pareado!$F$2:$F$65,"Bug plantado",Pareado!$C$2:$C$65,"Widget",Pareado!$D$2:$D$65,"COT")</f>
        <v>1</v>
      </c>
      <c r="R27" s="4" t="n">
        <f aca="false">COUNTIFS(Pareado!$F$2:$F$65,"Bug plantado",Pareado!$C$2:$C$65,"Widget",Pareado!$D$2:$D$65,"COT",Pareado!$W$2:$W$65,3)</f>
        <v>0</v>
      </c>
      <c r="S27" s="4" t="n">
        <f aca="false">COUNTIFS(Pareado!$F$2:$F$65,"Bug plantado",Pareado!$C$2:$C$65,"Widget",Pareado!$D$2:$D$65,"COT",Pareado!$Y$2:$Y$65,"&lt;&gt;executa")</f>
        <v>0</v>
      </c>
      <c r="T27" s="4" t="n">
        <f aca="false">SUMIFS(Pareado!$AA$2:$AA$65,Pareado!$F$2:$F$65,"Bug plantado",Pareado!$C$2:$C$65,"Widget",Pareado!$D$2:$D$65,"COT")</f>
        <v>0</v>
      </c>
      <c r="U27" s="4" t="n">
        <f aca="false">COUNTIFS(Pareado!$F$2:$F$65,"Bug plantado",Pareado!$C$2:$C$65,"Widget",Pareado!$D$2:$D$65,"COT",Pareado!$AF$2:$AF$65,"ChatGPT")</f>
        <v>2</v>
      </c>
      <c r="V27" s="4" t="n">
        <f aca="false">COUNTIFS(Pareado!$F$2:$F$65,"Bug plantado",Pareado!$C$2:$C$65,"Widget",Pareado!$D$2:$D$65,"COT",Pareado!$AF$2:$AF$65,"empate")</f>
        <v>0</v>
      </c>
      <c r="W27" s="4" t="n">
        <f aca="false">COUNTIFS(Pareado!$F$2:$F$65,"Bug plantado",Pareado!$C$2:$C$65,"Widget",Pareado!$D$2:$D$65,"COT",Pareado!$AF$2:$AF$65,"Gemini")</f>
        <v>0</v>
      </c>
      <c r="X27" s="4" t="n">
        <f aca="false">COUNTIFS(Pareado!$F$2:$F$65,"Bug plantado",Pareado!$C$2:$C$65,"Widget",Pareado!$D$2:$D$65,"COT",Pareado!$AG$2:$AG$65,"ChatGPT")</f>
        <v>0</v>
      </c>
      <c r="Y27" s="4" t="n">
        <f aca="false">COUNTIFS(Pareado!$F$2:$F$65,"Bug plantado",Pareado!$C$2:$C$65,"Widget",Pareado!$D$2:$D$65,"COT",Pareado!$AG$2:$AG$65,"empate")</f>
        <v>0</v>
      </c>
      <c r="Z27" s="4" t="n">
        <f aca="false">COUNTIFS(Pareado!$F$2:$F$65,"Bug plantado",Pareado!$C$2:$C$65,"Widget",Pareado!$D$2:$D$65,"COT",Pareado!$AG$2:$AG$65,"Gemini")</f>
        <v>2</v>
      </c>
    </row>
    <row r="28" customFormat="false" ht="15" hidden="false" customHeight="false" outlineLevel="0" collapsed="false">
      <c r="A28" s="7" t="s">
        <v>47</v>
      </c>
      <c r="B28" s="7" t="s">
        <v>68</v>
      </c>
      <c r="C28" s="7" t="s">
        <v>206</v>
      </c>
      <c r="D28" s="7" t="n">
        <f aca="false">COUNTIFS(Pareado!$F$2:$F$65,"Bug plantado",Pareado!$C$2:$C$65,"Widget")</f>
        <v>6</v>
      </c>
      <c r="E28" s="7" t="n">
        <f aca="false">SUMIFS(Pareado!$I$2:$I$65,Pareado!$F$2:$F$65,"Bug plantado",Pareado!$C$2:$C$65,"Widget")</f>
        <v>90</v>
      </c>
      <c r="F28" s="7" t="n">
        <f aca="false">SUMIFS(Pareado!$J$2:$J$65,Pareado!$F$2:$F$65,"Bug plantado",Pareado!$C$2:$C$65,"Widget")</f>
        <v>41</v>
      </c>
      <c r="G28" s="8" t="n">
        <f aca="false">IFERROR(F28/(F28+SUMIFS(Pareado!$K$2:$K$65,Pareado!$F$2:$F$65,"Bug plantado",Pareado!$C$2:$C$65,"Widget",Pareado!$O$2:$O$65,"executa")),0)</f>
        <v>0.953488372093023</v>
      </c>
      <c r="H28" s="7" t="n">
        <f aca="false">COUNTIFS(Pareado!$F$2:$F$65,"Bug plantado",Pareado!$C$2:$C$65,"Widget",Pareado!$L$2:$L$65,1)</f>
        <v>1</v>
      </c>
      <c r="I28" s="7" t="n">
        <f aca="false">SUMIFS(Pareado!$M$2:$M$65,Pareado!$F$2:$F$65,"Bug plantado",Pareado!$C$2:$C$65,"Widget")</f>
        <v>15</v>
      </c>
      <c r="J28" s="7" t="n">
        <f aca="false">COUNTIFS(Pareado!$F$2:$F$65,"Bug plantado",Pareado!$C$2:$C$65,"Widget",Pareado!$M$2:$M$65,3)</f>
        <v>5</v>
      </c>
      <c r="K28" s="7" t="n">
        <f aca="false">COUNTIFS(Pareado!$F$2:$F$65,"Bug plantado",Pareado!$C$2:$C$65,"Widget",Pareado!$O$2:$O$65,"&lt;&gt;executa")</f>
        <v>3</v>
      </c>
      <c r="L28" s="7" t="n">
        <f aca="false">COUNTIFS(Pareado!$F$2:$F$65,"Bug plantado",Pareado!$C$2:$C$65,"Widget",Pareado!$P$2:$P$65,"Sim")</f>
        <v>0</v>
      </c>
      <c r="M28" s="7" t="n">
        <f aca="false">SUMIFS(Pareado!$S$2:$S$65,Pareado!$F$2:$F$65,"Bug plantado",Pareado!$C$2:$C$65,"Widget")</f>
        <v>49</v>
      </c>
      <c r="N28" s="7" t="n">
        <f aca="false">SUMIFS(Pareado!$T$2:$T$65,Pareado!$F$2:$F$65,"Bug plantado",Pareado!$C$2:$C$65,"Widget")</f>
        <v>45</v>
      </c>
      <c r="O28" s="8" t="n">
        <f aca="false">IFERROR(N28/(N28+SUMIFS(Pareado!$U$2:$U$65,Pareado!$F$2:$F$65,"Bug plantado",Pareado!$C$2:$C$65,"Widget",Pareado!$Y$2:$Y$65,"executa")),0)</f>
        <v>0.918367346938776</v>
      </c>
      <c r="P28" s="7" t="n">
        <f aca="false">COUNTIFS(Pareado!$F$2:$F$65,"Bug plantado",Pareado!$C$2:$C$65,"Widget",Pareado!$V$2:$V$65,1)</f>
        <v>3</v>
      </c>
      <c r="Q28" s="7" t="n">
        <f aca="false">SUMIFS(Pareado!$W$2:$W$65,Pareado!$F$2:$F$65,"Bug plantado",Pareado!$C$2:$C$65,"Widget")</f>
        <v>8</v>
      </c>
      <c r="R28" s="7" t="n">
        <f aca="false">COUNTIFS(Pareado!$F$2:$F$65,"Bug plantado",Pareado!$C$2:$C$65,"Widget",Pareado!$W$2:$W$65,3)</f>
        <v>1</v>
      </c>
      <c r="S28" s="7" t="n">
        <f aca="false">COUNTIFS(Pareado!$F$2:$F$65,"Bug plantado",Pareado!$C$2:$C$65,"Widget",Pareado!$Y$2:$Y$65,"&lt;&gt;executa")</f>
        <v>0</v>
      </c>
      <c r="T28" s="7" t="n">
        <f aca="false">SUMIFS(Pareado!$AA$2:$AA$65,Pareado!$F$2:$F$65,"Bug plantado",Pareado!$C$2:$C$65,"Widget")</f>
        <v>1</v>
      </c>
      <c r="U28" s="7" t="n">
        <f aca="false">COUNTIFS(Pareado!$F$2:$F$65,"Bug plantado",Pareado!$C$2:$C$65,"Widget",Pareado!$AF$2:$AF$65,"ChatGPT")</f>
        <v>6</v>
      </c>
      <c r="V28" s="7" t="n">
        <f aca="false">COUNTIFS(Pareado!$F$2:$F$65,"Bug plantado",Pareado!$C$2:$C$65,"Widget",Pareado!$AF$2:$AF$65,"empate")</f>
        <v>0</v>
      </c>
      <c r="W28" s="7" t="n">
        <f aca="false">COUNTIFS(Pareado!$F$2:$F$65,"Bug plantado",Pareado!$C$2:$C$65,"Widget",Pareado!$AF$2:$AF$65,"Gemini")</f>
        <v>0</v>
      </c>
      <c r="X28" s="7" t="n">
        <f aca="false">COUNTIFS(Pareado!$F$2:$F$65,"Bug plantado",Pareado!$C$2:$C$65,"Widget",Pareado!$AG$2:$AG$65,"ChatGPT")</f>
        <v>0</v>
      </c>
      <c r="Y28" s="7" t="n">
        <f aca="false">COUNTIFS(Pareado!$F$2:$F$65,"Bug plantado",Pareado!$C$2:$C$65,"Widget",Pareado!$AG$2:$AG$65,"empate")</f>
        <v>1</v>
      </c>
      <c r="Z28" s="7" t="n">
        <f aca="false">COUNTIFS(Pareado!$F$2:$F$65,"Bug plantado",Pareado!$C$2:$C$65,"Widget",Pareado!$AG$2:$AG$65,"Gemini")</f>
        <v>5</v>
      </c>
    </row>
    <row r="29" customFormat="false" ht="15" hidden="false" customHeight="false" outlineLevel="0" collapsed="false">
      <c r="A29" s="4" t="s">
        <v>47</v>
      </c>
      <c r="B29" s="4" t="s">
        <v>91</v>
      </c>
      <c r="C29" s="4" t="s">
        <v>45</v>
      </c>
      <c r="D29" s="4" t="n">
        <f aca="false">COUNTIFS(Pareado!$F$2:$F$65,"Bug plantado",Pareado!$C$2:$C$65,"Integração",Pareado!$D$2:$D$65,"ZS")</f>
        <v>2</v>
      </c>
      <c r="E29" s="4" t="n">
        <f aca="false">SUMIFS(Pareado!$I$2:$I$65,Pareado!$F$2:$F$65,"Bug plantado",Pareado!$C$2:$C$65,"Integração",Pareado!$D$2:$D$65,"ZS")</f>
        <v>8</v>
      </c>
      <c r="F29" s="4" t="n">
        <f aca="false">SUMIFS(Pareado!$J$2:$J$65,Pareado!$F$2:$F$65,"Bug plantado",Pareado!$C$2:$C$65,"Integração",Pareado!$D$2:$D$65,"ZS")</f>
        <v>3</v>
      </c>
      <c r="G29" s="5" t="n">
        <f aca="false">IFERROR(F29/(F29+SUMIFS(Pareado!$K$2:$K$65,Pareado!$F$2:$F$65,"Bug plantado",Pareado!$C$2:$C$65,"Integração",Pareado!$D$2:$D$65,"ZS",Pareado!$O$2:$O$65,"executa")),0)</f>
        <v>0.375</v>
      </c>
      <c r="H29" s="4" t="n">
        <f aca="false">COUNTIFS(Pareado!$F$2:$F$65,"Bug plantado",Pareado!$C$2:$C$65,"Integração",Pareado!$D$2:$D$65,"ZS",Pareado!$L$2:$L$65,1)</f>
        <v>1</v>
      </c>
      <c r="I29" s="4" t="n">
        <f aca="false">SUMIFS(Pareado!$M$2:$M$65,Pareado!$F$2:$F$65,"Bug plantado",Pareado!$C$2:$C$65,"Integração",Pareado!$D$2:$D$65,"ZS")</f>
        <v>3</v>
      </c>
      <c r="J29" s="4" t="n">
        <f aca="false">COUNTIFS(Pareado!$F$2:$F$65,"Bug plantado",Pareado!$C$2:$C$65,"Integração",Pareado!$D$2:$D$65,"ZS",Pareado!$M$2:$M$65,3)</f>
        <v>1</v>
      </c>
      <c r="K29" s="4" t="n">
        <f aca="false">COUNTIFS(Pareado!$F$2:$F$65,"Bug plantado",Pareado!$C$2:$C$65,"Integração",Pareado!$D$2:$D$65,"ZS",Pareado!$O$2:$O$65,"&lt;&gt;executa")</f>
        <v>0</v>
      </c>
      <c r="L29" s="4" t="n">
        <f aca="false">COUNTIFS(Pareado!$F$2:$F$65,"Bug plantado",Pareado!$C$2:$C$65,"Integração",Pareado!$D$2:$D$65,"ZS",Pareado!$P$2:$P$65,"Sim")</f>
        <v>0</v>
      </c>
      <c r="M29" s="4" t="n">
        <f aca="false">SUMIFS(Pareado!$S$2:$S$65,Pareado!$F$2:$F$65,"Bug plantado",Pareado!$C$2:$C$65,"Integração",Pareado!$D$2:$D$65,"ZS")</f>
        <v>7</v>
      </c>
      <c r="N29" s="4" t="n">
        <f aca="false">SUMIFS(Pareado!$T$2:$T$65,Pareado!$F$2:$F$65,"Bug plantado",Pareado!$C$2:$C$65,"Integração",Pareado!$D$2:$D$65,"ZS")</f>
        <v>3</v>
      </c>
      <c r="O29" s="5" t="n">
        <f aca="false">IFERROR(N29/(N29+SUMIFS(Pareado!$U$2:$U$65,Pareado!$F$2:$F$65,"Bug plantado",Pareado!$C$2:$C$65,"Integração",Pareado!$D$2:$D$65,"ZS",Pareado!$Y$2:$Y$65,"executa")),0)</f>
        <v>0.428571428571429</v>
      </c>
      <c r="P29" s="4" t="n">
        <f aca="false">COUNTIFS(Pareado!$F$2:$F$65,"Bug plantado",Pareado!$C$2:$C$65,"Integração",Pareado!$D$2:$D$65,"ZS",Pareado!$V$2:$V$65,1)</f>
        <v>1</v>
      </c>
      <c r="Q29" s="4" t="n">
        <f aca="false">SUMIFS(Pareado!$W$2:$W$65,Pareado!$F$2:$F$65,"Bug plantado",Pareado!$C$2:$C$65,"Integração",Pareado!$D$2:$D$65,"ZS")</f>
        <v>4</v>
      </c>
      <c r="R29" s="4" t="n">
        <f aca="false">COUNTIFS(Pareado!$F$2:$F$65,"Bug plantado",Pareado!$C$2:$C$65,"Integração",Pareado!$D$2:$D$65,"ZS",Pareado!$W$2:$W$65,3)</f>
        <v>1</v>
      </c>
      <c r="S29" s="4" t="n">
        <f aca="false">COUNTIFS(Pareado!$F$2:$F$65,"Bug plantado",Pareado!$C$2:$C$65,"Integração",Pareado!$D$2:$D$65,"ZS",Pareado!$Y$2:$Y$65,"&lt;&gt;executa")</f>
        <v>0</v>
      </c>
      <c r="T29" s="4" t="n">
        <f aca="false">SUMIFS(Pareado!$AA$2:$AA$65,Pareado!$F$2:$F$65,"Bug plantado",Pareado!$C$2:$C$65,"Integração",Pareado!$D$2:$D$65,"ZS")</f>
        <v>0</v>
      </c>
      <c r="U29" s="4" t="n">
        <f aca="false">COUNTIFS(Pareado!$F$2:$F$65,"Bug plantado",Pareado!$C$2:$C$65,"Integração",Pareado!$D$2:$D$65,"ZS",Pareado!$AF$2:$AF$65,"ChatGPT")</f>
        <v>1</v>
      </c>
      <c r="V29" s="4" t="n">
        <f aca="false">COUNTIFS(Pareado!$F$2:$F$65,"Bug plantado",Pareado!$C$2:$C$65,"Integração",Pareado!$D$2:$D$65,"ZS",Pareado!$AF$2:$AF$65,"empate")</f>
        <v>1</v>
      </c>
      <c r="W29" s="4" t="n">
        <f aca="false">COUNTIFS(Pareado!$F$2:$F$65,"Bug plantado",Pareado!$C$2:$C$65,"Integração",Pareado!$D$2:$D$65,"ZS",Pareado!$AF$2:$AF$65,"Gemini")</f>
        <v>0</v>
      </c>
      <c r="X29" s="4" t="n">
        <f aca="false">COUNTIFS(Pareado!$F$2:$F$65,"Bug plantado",Pareado!$C$2:$C$65,"Integração",Pareado!$D$2:$D$65,"ZS",Pareado!$AG$2:$AG$65,"ChatGPT")</f>
        <v>0</v>
      </c>
      <c r="Y29" s="4" t="n">
        <f aca="false">COUNTIFS(Pareado!$F$2:$F$65,"Bug plantado",Pareado!$C$2:$C$65,"Integração",Pareado!$D$2:$D$65,"ZS",Pareado!$AG$2:$AG$65,"empate")</f>
        <v>1</v>
      </c>
      <c r="Z29" s="4" t="n">
        <f aca="false">COUNTIFS(Pareado!$F$2:$F$65,"Bug plantado",Pareado!$C$2:$C$65,"Integração",Pareado!$D$2:$D$65,"ZS",Pareado!$AG$2:$AG$65,"Gemini")</f>
        <v>1</v>
      </c>
    </row>
    <row r="30" customFormat="false" ht="15" hidden="false" customHeight="false" outlineLevel="0" collapsed="false">
      <c r="A30" s="4" t="s">
        <v>47</v>
      </c>
      <c r="B30" s="4" t="s">
        <v>91</v>
      </c>
      <c r="C30" s="4" t="s">
        <v>56</v>
      </c>
      <c r="D30" s="4" t="n">
        <f aca="false">COUNTIFS(Pareado!$F$2:$F$65,"Bug plantado",Pareado!$C$2:$C$65,"Integração",Pareado!$D$2:$D$65,"FS")</f>
        <v>2</v>
      </c>
      <c r="E30" s="4" t="n">
        <f aca="false">SUMIFS(Pareado!$I$2:$I$65,Pareado!$F$2:$F$65,"Bug plantado",Pareado!$C$2:$C$65,"Integração",Pareado!$D$2:$D$65,"FS")</f>
        <v>5</v>
      </c>
      <c r="F30" s="4" t="n">
        <f aca="false">SUMIFS(Pareado!$J$2:$J$65,Pareado!$F$2:$F$65,"Bug plantado",Pareado!$C$2:$C$65,"Integração",Pareado!$D$2:$D$65,"FS")</f>
        <v>2</v>
      </c>
      <c r="G30" s="5" t="n">
        <f aca="false">IFERROR(F30/(F30+SUMIFS(Pareado!$K$2:$K$65,Pareado!$F$2:$F$65,"Bug plantado",Pareado!$C$2:$C$65,"Integração",Pareado!$D$2:$D$65,"FS",Pareado!$O$2:$O$65,"executa")),0)</f>
        <v>0.666666666666667</v>
      </c>
      <c r="H30" s="4" t="n">
        <f aca="false">COUNTIFS(Pareado!$F$2:$F$65,"Bug plantado",Pareado!$C$2:$C$65,"Integração",Pareado!$D$2:$D$65,"FS",Pareado!$L$2:$L$65,1)</f>
        <v>0</v>
      </c>
      <c r="I30" s="4" t="n">
        <f aca="false">SUMIFS(Pareado!$M$2:$M$65,Pareado!$F$2:$F$65,"Bug plantado",Pareado!$C$2:$C$65,"Integração",Pareado!$D$2:$D$65,"FS")</f>
        <v>6</v>
      </c>
      <c r="J30" s="4" t="n">
        <f aca="false">COUNTIFS(Pareado!$F$2:$F$65,"Bug plantado",Pareado!$C$2:$C$65,"Integração",Pareado!$D$2:$D$65,"FS",Pareado!$M$2:$M$65,3)</f>
        <v>2</v>
      </c>
      <c r="K30" s="4" t="n">
        <f aca="false">COUNTIFS(Pareado!$F$2:$F$65,"Bug plantado",Pareado!$C$2:$C$65,"Integração",Pareado!$D$2:$D$65,"FS",Pareado!$O$2:$O$65,"&lt;&gt;executa")</f>
        <v>1</v>
      </c>
      <c r="L30" s="4" t="n">
        <f aca="false">COUNTIFS(Pareado!$F$2:$F$65,"Bug plantado",Pareado!$C$2:$C$65,"Integração",Pareado!$D$2:$D$65,"FS",Pareado!$P$2:$P$65,"Sim")</f>
        <v>0</v>
      </c>
      <c r="M30" s="4" t="n">
        <f aca="false">SUMIFS(Pareado!$S$2:$S$65,Pareado!$F$2:$F$65,"Bug plantado",Pareado!$C$2:$C$65,"Integração",Pareado!$D$2:$D$65,"FS")</f>
        <v>6</v>
      </c>
      <c r="N30" s="4" t="n">
        <f aca="false">SUMIFS(Pareado!$T$2:$T$65,Pareado!$F$2:$F$65,"Bug plantado",Pareado!$C$2:$C$65,"Integração",Pareado!$D$2:$D$65,"FS")</f>
        <v>1</v>
      </c>
      <c r="O30" s="5" t="n">
        <f aca="false">IFERROR(N30/(N30+SUMIFS(Pareado!$U$2:$U$65,Pareado!$F$2:$F$65,"Bug plantado",Pareado!$C$2:$C$65,"Integração",Pareado!$D$2:$D$65,"FS",Pareado!$Y$2:$Y$65,"executa")),0)</f>
        <v>0.25</v>
      </c>
      <c r="P30" s="4" t="n">
        <f aca="false">COUNTIFS(Pareado!$F$2:$F$65,"Bug plantado",Pareado!$C$2:$C$65,"Integração",Pareado!$D$2:$D$65,"FS",Pareado!$V$2:$V$65,1)</f>
        <v>0</v>
      </c>
      <c r="Q30" s="4" t="n">
        <f aca="false">SUMIFS(Pareado!$W$2:$W$65,Pareado!$F$2:$F$65,"Bug plantado",Pareado!$C$2:$C$65,"Integração",Pareado!$D$2:$D$65,"FS")</f>
        <v>5</v>
      </c>
      <c r="R30" s="4" t="n">
        <f aca="false">COUNTIFS(Pareado!$F$2:$F$65,"Bug plantado",Pareado!$C$2:$C$65,"Integração",Pareado!$D$2:$D$65,"FS",Pareado!$W$2:$W$65,3)</f>
        <v>1</v>
      </c>
      <c r="S30" s="4" t="n">
        <f aca="false">COUNTIFS(Pareado!$F$2:$F$65,"Bug plantado",Pareado!$C$2:$C$65,"Integração",Pareado!$D$2:$D$65,"FS",Pareado!$Y$2:$Y$65,"&lt;&gt;executa")</f>
        <v>1</v>
      </c>
      <c r="T30" s="4" t="n">
        <f aca="false">SUMIFS(Pareado!$AA$2:$AA$65,Pareado!$F$2:$F$65,"Bug plantado",Pareado!$C$2:$C$65,"Integração",Pareado!$D$2:$D$65,"FS")</f>
        <v>0</v>
      </c>
      <c r="U30" s="4" t="n">
        <f aca="false">COUNTIFS(Pareado!$F$2:$F$65,"Bug plantado",Pareado!$C$2:$C$65,"Integração",Pareado!$D$2:$D$65,"FS",Pareado!$AF$2:$AF$65,"ChatGPT")</f>
        <v>0</v>
      </c>
      <c r="V30" s="4" t="n">
        <f aca="false">COUNTIFS(Pareado!$F$2:$F$65,"Bug plantado",Pareado!$C$2:$C$65,"Integração",Pareado!$D$2:$D$65,"FS",Pareado!$AF$2:$AF$65,"empate")</f>
        <v>1</v>
      </c>
      <c r="W30" s="4" t="n">
        <f aca="false">COUNTIFS(Pareado!$F$2:$F$65,"Bug plantado",Pareado!$C$2:$C$65,"Integração",Pareado!$D$2:$D$65,"FS",Pareado!$AF$2:$AF$65,"Gemini")</f>
        <v>1</v>
      </c>
      <c r="X30" s="4" t="n">
        <f aca="false">COUNTIFS(Pareado!$F$2:$F$65,"Bug plantado",Pareado!$C$2:$C$65,"Integração",Pareado!$D$2:$D$65,"FS",Pareado!$AG$2:$AG$65,"ChatGPT")</f>
        <v>1</v>
      </c>
      <c r="Y30" s="4" t="n">
        <f aca="false">COUNTIFS(Pareado!$F$2:$F$65,"Bug plantado",Pareado!$C$2:$C$65,"Integração",Pareado!$D$2:$D$65,"FS",Pareado!$AG$2:$AG$65,"empate")</f>
        <v>1</v>
      </c>
      <c r="Z30" s="4" t="n">
        <f aca="false">COUNTIFS(Pareado!$F$2:$F$65,"Bug plantado",Pareado!$C$2:$C$65,"Integração",Pareado!$D$2:$D$65,"FS",Pareado!$AG$2:$AG$65,"Gemini")</f>
        <v>0</v>
      </c>
    </row>
    <row r="31" customFormat="false" ht="15" hidden="false" customHeight="false" outlineLevel="0" collapsed="false">
      <c r="A31" s="4" t="s">
        <v>47</v>
      </c>
      <c r="B31" s="4" t="s">
        <v>91</v>
      </c>
      <c r="C31" s="4" t="s">
        <v>61</v>
      </c>
      <c r="D31" s="4" t="n">
        <f aca="false">COUNTIFS(Pareado!$F$2:$F$65,"Bug plantado",Pareado!$C$2:$C$65,"Integração",Pareado!$D$2:$D$65,"COT")</f>
        <v>2</v>
      </c>
      <c r="E31" s="4" t="n">
        <f aca="false">SUMIFS(Pareado!$I$2:$I$65,Pareado!$F$2:$F$65,"Bug plantado",Pareado!$C$2:$C$65,"Integração",Pareado!$D$2:$D$65,"COT")</f>
        <v>18</v>
      </c>
      <c r="F31" s="4" t="n">
        <f aca="false">SUMIFS(Pareado!$J$2:$J$65,Pareado!$F$2:$F$65,"Bug plantado",Pareado!$C$2:$C$65,"Integração",Pareado!$D$2:$D$65,"COT")</f>
        <v>6</v>
      </c>
      <c r="G31" s="5" t="n">
        <f aca="false">IFERROR(F31/(F31+SUMIFS(Pareado!$K$2:$K$65,Pareado!$F$2:$F$65,"Bug plantado",Pareado!$C$2:$C$65,"Integração",Pareado!$D$2:$D$65,"COT",Pareado!$O$2:$O$65,"executa")),0)</f>
        <v>0.333333333333333</v>
      </c>
      <c r="H31" s="4" t="n">
        <f aca="false">COUNTIFS(Pareado!$F$2:$F$65,"Bug plantado",Pareado!$C$2:$C$65,"Integração",Pareado!$D$2:$D$65,"COT",Pareado!$L$2:$L$65,1)</f>
        <v>1</v>
      </c>
      <c r="I31" s="4" t="n">
        <f aca="false">SUMIFS(Pareado!$M$2:$M$65,Pareado!$F$2:$F$65,"Bug plantado",Pareado!$C$2:$C$65,"Integração",Pareado!$D$2:$D$65,"COT")</f>
        <v>3</v>
      </c>
      <c r="J31" s="4" t="n">
        <f aca="false">COUNTIFS(Pareado!$F$2:$F$65,"Bug plantado",Pareado!$C$2:$C$65,"Integração",Pareado!$D$2:$D$65,"COT",Pareado!$M$2:$M$65,3)</f>
        <v>1</v>
      </c>
      <c r="K31" s="4" t="n">
        <f aca="false">COUNTIFS(Pareado!$F$2:$F$65,"Bug plantado",Pareado!$C$2:$C$65,"Integração",Pareado!$D$2:$D$65,"COT",Pareado!$O$2:$O$65,"&lt;&gt;executa")</f>
        <v>0</v>
      </c>
      <c r="L31" s="4" t="n">
        <f aca="false">COUNTIFS(Pareado!$F$2:$F$65,"Bug plantado",Pareado!$C$2:$C$65,"Integração",Pareado!$D$2:$D$65,"COT",Pareado!$P$2:$P$65,"Sim")</f>
        <v>0</v>
      </c>
      <c r="M31" s="4" t="n">
        <f aca="false">SUMIFS(Pareado!$S$2:$S$65,Pareado!$F$2:$F$65,"Bug plantado",Pareado!$C$2:$C$65,"Integração",Pareado!$D$2:$D$65,"COT")</f>
        <v>10</v>
      </c>
      <c r="N31" s="4" t="n">
        <f aca="false">SUMIFS(Pareado!$T$2:$T$65,Pareado!$F$2:$F$65,"Bug plantado",Pareado!$C$2:$C$65,"Integração",Pareado!$D$2:$D$65,"COT")</f>
        <v>6</v>
      </c>
      <c r="O31" s="5" t="n">
        <f aca="false">IFERROR(N31/(N31+SUMIFS(Pareado!$U$2:$U$65,Pareado!$F$2:$F$65,"Bug plantado",Pareado!$C$2:$C$65,"Integração",Pareado!$D$2:$D$65,"COT",Pareado!$Y$2:$Y$65,"executa")),0)</f>
        <v>0.6</v>
      </c>
      <c r="P31" s="4" t="n">
        <f aca="false">COUNTIFS(Pareado!$F$2:$F$65,"Bug plantado",Pareado!$C$2:$C$65,"Integração",Pareado!$D$2:$D$65,"COT",Pareado!$V$2:$V$65,1)</f>
        <v>1</v>
      </c>
      <c r="Q31" s="4" t="n">
        <f aca="false">SUMIFS(Pareado!$W$2:$W$65,Pareado!$F$2:$F$65,"Bug plantado",Pareado!$C$2:$C$65,"Integração",Pareado!$D$2:$D$65,"COT")</f>
        <v>4</v>
      </c>
      <c r="R31" s="4" t="n">
        <f aca="false">COUNTIFS(Pareado!$F$2:$F$65,"Bug plantado",Pareado!$C$2:$C$65,"Integração",Pareado!$D$2:$D$65,"COT",Pareado!$W$2:$W$65,3)</f>
        <v>1</v>
      </c>
      <c r="S31" s="4" t="n">
        <f aca="false">COUNTIFS(Pareado!$F$2:$F$65,"Bug plantado",Pareado!$C$2:$C$65,"Integração",Pareado!$D$2:$D$65,"COT",Pareado!$Y$2:$Y$65,"&lt;&gt;executa")</f>
        <v>0</v>
      </c>
      <c r="T31" s="4" t="n">
        <f aca="false">SUMIFS(Pareado!$AA$2:$AA$65,Pareado!$F$2:$F$65,"Bug plantado",Pareado!$C$2:$C$65,"Integração",Pareado!$D$2:$D$65,"COT")</f>
        <v>0</v>
      </c>
      <c r="U31" s="4" t="n">
        <f aca="false">COUNTIFS(Pareado!$F$2:$F$65,"Bug plantado",Pareado!$C$2:$C$65,"Integração",Pareado!$D$2:$D$65,"COT",Pareado!$AF$2:$AF$65,"ChatGPT")</f>
        <v>1</v>
      </c>
      <c r="V31" s="4" t="n">
        <f aca="false">COUNTIFS(Pareado!$F$2:$F$65,"Bug plantado",Pareado!$C$2:$C$65,"Integração",Pareado!$D$2:$D$65,"COT",Pareado!$AF$2:$AF$65,"empate")</f>
        <v>1</v>
      </c>
      <c r="W31" s="4" t="n">
        <f aca="false">COUNTIFS(Pareado!$F$2:$F$65,"Bug plantado",Pareado!$C$2:$C$65,"Integração",Pareado!$D$2:$D$65,"COT",Pareado!$AF$2:$AF$65,"Gemini")</f>
        <v>0</v>
      </c>
      <c r="X31" s="4" t="n">
        <f aca="false">COUNTIFS(Pareado!$F$2:$F$65,"Bug plantado",Pareado!$C$2:$C$65,"Integração",Pareado!$D$2:$D$65,"COT",Pareado!$AG$2:$AG$65,"ChatGPT")</f>
        <v>0</v>
      </c>
      <c r="Y31" s="4" t="n">
        <f aca="false">COUNTIFS(Pareado!$F$2:$F$65,"Bug plantado",Pareado!$C$2:$C$65,"Integração",Pareado!$D$2:$D$65,"COT",Pareado!$AG$2:$AG$65,"empate")</f>
        <v>1</v>
      </c>
      <c r="Z31" s="4" t="n">
        <f aca="false">COUNTIFS(Pareado!$F$2:$F$65,"Bug plantado",Pareado!$C$2:$C$65,"Integração",Pareado!$D$2:$D$65,"COT",Pareado!$AG$2:$AG$65,"Gemini")</f>
        <v>1</v>
      </c>
    </row>
    <row r="32" customFormat="false" ht="15" hidden="false" customHeight="false" outlineLevel="0" collapsed="false">
      <c r="A32" s="7" t="s">
        <v>47</v>
      </c>
      <c r="B32" s="7" t="s">
        <v>91</v>
      </c>
      <c r="C32" s="7" t="s">
        <v>206</v>
      </c>
      <c r="D32" s="7" t="n">
        <f aca="false">COUNTIFS(Pareado!$F$2:$F$65,"Bug plantado",Pareado!$C$2:$C$65,"Integração")</f>
        <v>6</v>
      </c>
      <c r="E32" s="7" t="n">
        <f aca="false">SUMIFS(Pareado!$I$2:$I$65,Pareado!$F$2:$F$65,"Bug plantado",Pareado!$C$2:$C$65,"Integração")</f>
        <v>31</v>
      </c>
      <c r="F32" s="7" t="n">
        <f aca="false">SUMIFS(Pareado!$J$2:$J$65,Pareado!$F$2:$F$65,"Bug plantado",Pareado!$C$2:$C$65,"Integração")</f>
        <v>11</v>
      </c>
      <c r="G32" s="8" t="n">
        <f aca="false">IFERROR(F32/(F32+SUMIFS(Pareado!$K$2:$K$65,Pareado!$F$2:$F$65,"Bug plantado",Pareado!$C$2:$C$65,"Integração",Pareado!$O$2:$O$65,"executa")),0)</f>
        <v>0.379310344827586</v>
      </c>
      <c r="H32" s="7" t="n">
        <f aca="false">COUNTIFS(Pareado!$F$2:$F$65,"Bug plantado",Pareado!$C$2:$C$65,"Integração",Pareado!$L$2:$L$65,1)</f>
        <v>2</v>
      </c>
      <c r="I32" s="7" t="n">
        <f aca="false">SUMIFS(Pareado!$M$2:$M$65,Pareado!$F$2:$F$65,"Bug plantado",Pareado!$C$2:$C$65,"Integração")</f>
        <v>12</v>
      </c>
      <c r="J32" s="7" t="n">
        <f aca="false">COUNTIFS(Pareado!$F$2:$F$65,"Bug plantado",Pareado!$C$2:$C$65,"Integração",Pareado!$M$2:$M$65,3)</f>
        <v>4</v>
      </c>
      <c r="K32" s="7" t="n">
        <f aca="false">COUNTIFS(Pareado!$F$2:$F$65,"Bug plantado",Pareado!$C$2:$C$65,"Integração",Pareado!$O$2:$O$65,"&lt;&gt;executa")</f>
        <v>1</v>
      </c>
      <c r="L32" s="7" t="n">
        <f aca="false">COUNTIFS(Pareado!$F$2:$F$65,"Bug plantado",Pareado!$C$2:$C$65,"Integração",Pareado!$P$2:$P$65,"Sim")</f>
        <v>0</v>
      </c>
      <c r="M32" s="7" t="n">
        <f aca="false">SUMIFS(Pareado!$S$2:$S$65,Pareado!$F$2:$F$65,"Bug plantado",Pareado!$C$2:$C$65,"Integração")</f>
        <v>23</v>
      </c>
      <c r="N32" s="7" t="n">
        <f aca="false">SUMIFS(Pareado!$T$2:$T$65,Pareado!$F$2:$F$65,"Bug plantado",Pareado!$C$2:$C$65,"Integração")</f>
        <v>10</v>
      </c>
      <c r="O32" s="8" t="n">
        <f aca="false">IFERROR(N32/(N32+SUMIFS(Pareado!$U$2:$U$65,Pareado!$F$2:$F$65,"Bug plantado",Pareado!$C$2:$C$65,"Integração",Pareado!$Y$2:$Y$65,"executa")),0)</f>
        <v>0.476190476190476</v>
      </c>
      <c r="P32" s="7" t="n">
        <f aca="false">COUNTIFS(Pareado!$F$2:$F$65,"Bug plantado",Pareado!$C$2:$C$65,"Integração",Pareado!$V$2:$V$65,1)</f>
        <v>2</v>
      </c>
      <c r="Q32" s="7" t="n">
        <f aca="false">SUMIFS(Pareado!$W$2:$W$65,Pareado!$F$2:$F$65,"Bug plantado",Pareado!$C$2:$C$65,"Integração")</f>
        <v>13</v>
      </c>
      <c r="R32" s="7" t="n">
        <f aca="false">COUNTIFS(Pareado!$F$2:$F$65,"Bug plantado",Pareado!$C$2:$C$65,"Integração",Pareado!$W$2:$W$65,3)</f>
        <v>3</v>
      </c>
      <c r="S32" s="7" t="n">
        <f aca="false">COUNTIFS(Pareado!$F$2:$F$65,"Bug plantado",Pareado!$C$2:$C$65,"Integração",Pareado!$Y$2:$Y$65,"&lt;&gt;executa")</f>
        <v>1</v>
      </c>
      <c r="T32" s="7" t="n">
        <f aca="false">SUMIFS(Pareado!$AA$2:$AA$65,Pareado!$F$2:$F$65,"Bug plantado",Pareado!$C$2:$C$65,"Integração")</f>
        <v>0</v>
      </c>
      <c r="U32" s="7" t="n">
        <f aca="false">COUNTIFS(Pareado!$F$2:$F$65,"Bug plantado",Pareado!$C$2:$C$65,"Integração",Pareado!$AF$2:$AF$65,"ChatGPT")</f>
        <v>2</v>
      </c>
      <c r="V32" s="7" t="n">
        <f aca="false">COUNTIFS(Pareado!$F$2:$F$65,"Bug plantado",Pareado!$C$2:$C$65,"Integração",Pareado!$AF$2:$AF$65,"empate")</f>
        <v>3</v>
      </c>
      <c r="W32" s="7" t="n">
        <f aca="false">COUNTIFS(Pareado!$F$2:$F$65,"Bug plantado",Pareado!$C$2:$C$65,"Integração",Pareado!$AF$2:$AF$65,"Gemini")</f>
        <v>1</v>
      </c>
      <c r="X32" s="7" t="n">
        <f aca="false">COUNTIFS(Pareado!$F$2:$F$65,"Bug plantado",Pareado!$C$2:$C$65,"Integração",Pareado!$AG$2:$AG$65,"ChatGPT")</f>
        <v>1</v>
      </c>
      <c r="Y32" s="7" t="n">
        <f aca="false">COUNTIFS(Pareado!$F$2:$F$65,"Bug plantado",Pareado!$C$2:$C$65,"Integração",Pareado!$AG$2:$AG$65,"empate")</f>
        <v>3</v>
      </c>
      <c r="Z32" s="7" t="n">
        <f aca="false">COUNTIFS(Pareado!$F$2:$F$65,"Bug plantado",Pareado!$C$2:$C$65,"Integração",Pareado!$AG$2:$AG$65,"Gemini")</f>
        <v>2</v>
      </c>
    </row>
    <row r="33" customFormat="false" ht="15" hidden="false" customHeight="false" outlineLevel="0" collapsed="false">
      <c r="A33" s="4" t="s">
        <v>47</v>
      </c>
      <c r="B33" s="4" t="s">
        <v>207</v>
      </c>
      <c r="C33" s="4" t="s">
        <v>45</v>
      </c>
      <c r="D33" s="4" t="n">
        <f aca="false">COUNTIFS(Pareado!$F$2:$F$65,"Bug plantado",Pareado!$D$2:$D$65,"ZS")</f>
        <v>6</v>
      </c>
      <c r="E33" s="4" t="n">
        <f aca="false">SUMIFS(Pareado!$I$2:$I$65,Pareado!$F$2:$F$65,"Bug plantado",Pareado!$D$2:$D$65,"ZS")</f>
        <v>60</v>
      </c>
      <c r="F33" s="4" t="n">
        <f aca="false">SUMIFS(Pareado!$J$2:$J$65,Pareado!$F$2:$F$65,"Bug plantado",Pareado!$D$2:$D$65,"ZS")</f>
        <v>48</v>
      </c>
      <c r="G33" s="5" t="n">
        <f aca="false">IFERROR(F33/(F33+SUMIFS(Pareado!$K$2:$K$65,Pareado!$F$2:$F$65,"Bug plantado",Pareado!$D$2:$D$65,"ZS",Pareado!$O$2:$O$65,"executa")),0)</f>
        <v>0.888888888888889</v>
      </c>
      <c r="H33" s="4" t="n">
        <f aca="false">COUNTIFS(Pareado!$F$2:$F$65,"Bug plantado",Pareado!$D$2:$D$65,"ZS",Pareado!$L$2:$L$65,1)</f>
        <v>4</v>
      </c>
      <c r="I33" s="4" t="n">
        <f aca="false">SUMIFS(Pareado!$M$2:$M$65,Pareado!$F$2:$F$65,"Bug plantado",Pareado!$D$2:$D$65,"ZS")</f>
        <v>6</v>
      </c>
      <c r="J33" s="4" t="n">
        <f aca="false">COUNTIFS(Pareado!$F$2:$F$65,"Bug plantado",Pareado!$D$2:$D$65,"ZS",Pareado!$M$2:$M$65,3)</f>
        <v>2</v>
      </c>
      <c r="K33" s="4" t="n">
        <f aca="false">COUNTIFS(Pareado!$F$2:$F$65,"Bug plantado",Pareado!$D$2:$D$65,"ZS",Pareado!$O$2:$O$65,"&lt;&gt;executa")</f>
        <v>0</v>
      </c>
      <c r="L33" s="4" t="n">
        <f aca="false">COUNTIFS(Pareado!$F$2:$F$65,"Bug plantado",Pareado!$D$2:$D$65,"ZS",Pareado!$P$2:$P$65,"Sim")</f>
        <v>0</v>
      </c>
      <c r="M33" s="4" t="n">
        <f aca="false">SUMIFS(Pareado!$S$2:$S$65,Pareado!$F$2:$F$65,"Bug plantado",Pareado!$D$2:$D$65,"ZS")</f>
        <v>41</v>
      </c>
      <c r="N33" s="4" t="n">
        <f aca="false">SUMIFS(Pareado!$T$2:$T$65,Pareado!$F$2:$F$65,"Bug plantado",Pareado!$D$2:$D$65,"ZS")</f>
        <v>36</v>
      </c>
      <c r="O33" s="5" t="n">
        <f aca="false">IFERROR(N33/(N33+SUMIFS(Pareado!$U$2:$U$65,Pareado!$F$2:$F$65,"Bug plantado",Pareado!$D$2:$D$65,"ZS",Pareado!$Y$2:$Y$65,"executa")),0)</f>
        <v>0.878048780487805</v>
      </c>
      <c r="P33" s="4" t="n">
        <f aca="false">COUNTIFS(Pareado!$F$2:$F$65,"Bug plantado",Pareado!$D$2:$D$65,"ZS",Pareado!$V$2:$V$65,1)</f>
        <v>4</v>
      </c>
      <c r="Q33" s="4" t="n">
        <f aca="false">SUMIFS(Pareado!$W$2:$W$65,Pareado!$F$2:$F$65,"Bug plantado",Pareado!$D$2:$D$65,"ZS")</f>
        <v>6</v>
      </c>
      <c r="R33" s="4" t="n">
        <f aca="false">COUNTIFS(Pareado!$F$2:$F$65,"Bug plantado",Pareado!$D$2:$D$65,"ZS",Pareado!$W$2:$W$65,3)</f>
        <v>1</v>
      </c>
      <c r="S33" s="4" t="n">
        <f aca="false">COUNTIFS(Pareado!$F$2:$F$65,"Bug plantado",Pareado!$D$2:$D$65,"ZS",Pareado!$Y$2:$Y$65,"&lt;&gt;executa")</f>
        <v>0</v>
      </c>
      <c r="T33" s="4" t="n">
        <f aca="false">SUMIFS(Pareado!$AA$2:$AA$65,Pareado!$F$2:$F$65,"Bug plantado",Pareado!$D$2:$D$65,"ZS")</f>
        <v>1</v>
      </c>
      <c r="U33" s="4" t="n">
        <f aca="false">COUNTIFS(Pareado!$F$2:$F$65,"Bug plantado",Pareado!$D$2:$D$65,"ZS",Pareado!$AF$2:$AF$65,"ChatGPT")</f>
        <v>5</v>
      </c>
      <c r="V33" s="4" t="n">
        <f aca="false">COUNTIFS(Pareado!$F$2:$F$65,"Bug plantado",Pareado!$D$2:$D$65,"ZS",Pareado!$AF$2:$AF$65,"empate")</f>
        <v>1</v>
      </c>
      <c r="W33" s="4" t="n">
        <f aca="false">COUNTIFS(Pareado!$F$2:$F$65,"Bug plantado",Pareado!$D$2:$D$65,"ZS",Pareado!$AF$2:$AF$65,"Gemini")</f>
        <v>0</v>
      </c>
      <c r="X33" s="4" t="n">
        <f aca="false">COUNTIFS(Pareado!$F$2:$F$65,"Bug plantado",Pareado!$D$2:$D$65,"ZS",Pareado!$AG$2:$AG$65,"ChatGPT")</f>
        <v>0</v>
      </c>
      <c r="Y33" s="4" t="n">
        <f aca="false">COUNTIFS(Pareado!$F$2:$F$65,"Bug plantado",Pareado!$D$2:$D$65,"ZS",Pareado!$AG$2:$AG$65,"empate")</f>
        <v>4</v>
      </c>
      <c r="Z33" s="4" t="n">
        <f aca="false">COUNTIFS(Pareado!$F$2:$F$65,"Bug plantado",Pareado!$D$2:$D$65,"ZS",Pareado!$AG$2:$AG$65,"Gemini")</f>
        <v>2</v>
      </c>
    </row>
    <row r="34" customFormat="false" ht="15" hidden="false" customHeight="false" outlineLevel="0" collapsed="false">
      <c r="A34" s="4" t="s">
        <v>47</v>
      </c>
      <c r="B34" s="4" t="s">
        <v>207</v>
      </c>
      <c r="C34" s="4" t="s">
        <v>56</v>
      </c>
      <c r="D34" s="4" t="n">
        <f aca="false">COUNTIFS(Pareado!$F$2:$F$65,"Bug plantado",Pareado!$D$2:$D$65,"FS")</f>
        <v>6</v>
      </c>
      <c r="E34" s="4" t="n">
        <f aca="false">SUMIFS(Pareado!$I$2:$I$65,Pareado!$F$2:$F$65,"Bug plantado",Pareado!$D$2:$D$65,"FS")</f>
        <v>37</v>
      </c>
      <c r="F34" s="4" t="n">
        <f aca="false">SUMIFS(Pareado!$J$2:$J$65,Pareado!$F$2:$F$65,"Bug plantado",Pareado!$D$2:$D$65,"FS")</f>
        <v>13</v>
      </c>
      <c r="G34" s="5" t="n">
        <f aca="false">IFERROR(F34/(F34+SUMIFS(Pareado!$K$2:$K$65,Pareado!$F$2:$F$65,"Bug plantado",Pareado!$D$2:$D$65,"FS",Pareado!$O$2:$O$65,"executa")),0)</f>
        <v>0.866666666666667</v>
      </c>
      <c r="H34" s="4" t="n">
        <f aca="false">COUNTIFS(Pareado!$F$2:$F$65,"Bug plantado",Pareado!$D$2:$D$65,"FS",Pareado!$L$2:$L$65,1)</f>
        <v>1</v>
      </c>
      <c r="I34" s="4" t="n">
        <f aca="false">SUMIFS(Pareado!$M$2:$M$65,Pareado!$F$2:$F$65,"Bug plantado",Pareado!$D$2:$D$65,"FS")</f>
        <v>13</v>
      </c>
      <c r="J34" s="4" t="n">
        <f aca="false">COUNTIFS(Pareado!$F$2:$F$65,"Bug plantado",Pareado!$D$2:$D$65,"FS",Pareado!$M$2:$M$65,3)</f>
        <v>4</v>
      </c>
      <c r="K34" s="4" t="n">
        <f aca="false">COUNTIFS(Pareado!$F$2:$F$65,"Bug plantado",Pareado!$D$2:$D$65,"FS",Pareado!$O$2:$O$65,"&lt;&gt;executa")</f>
        <v>3</v>
      </c>
      <c r="L34" s="4" t="n">
        <f aca="false">COUNTIFS(Pareado!$F$2:$F$65,"Bug plantado",Pareado!$D$2:$D$65,"FS",Pareado!$P$2:$P$65,"Sim")</f>
        <v>0</v>
      </c>
      <c r="M34" s="4" t="n">
        <f aca="false">SUMIFS(Pareado!$S$2:$S$65,Pareado!$F$2:$F$65,"Bug plantado",Pareado!$D$2:$D$65,"FS")</f>
        <v>31</v>
      </c>
      <c r="N34" s="4" t="n">
        <f aca="false">SUMIFS(Pareado!$T$2:$T$65,Pareado!$F$2:$F$65,"Bug plantado",Pareado!$D$2:$D$65,"FS")</f>
        <v>24</v>
      </c>
      <c r="O34" s="5" t="n">
        <f aca="false">IFERROR(N34/(N34+SUMIFS(Pareado!$U$2:$U$65,Pareado!$F$2:$F$65,"Bug plantado",Pareado!$D$2:$D$65,"FS",Pareado!$Y$2:$Y$65,"executa")),0)</f>
        <v>0.827586206896552</v>
      </c>
      <c r="P34" s="4" t="n">
        <f aca="false">COUNTIFS(Pareado!$F$2:$F$65,"Bug plantado",Pareado!$D$2:$D$65,"FS",Pareado!$V$2:$V$65,1)</f>
        <v>3</v>
      </c>
      <c r="Q34" s="4" t="n">
        <f aca="false">SUMIFS(Pareado!$W$2:$W$65,Pareado!$F$2:$F$65,"Bug plantado",Pareado!$D$2:$D$65,"FS")</f>
        <v>10</v>
      </c>
      <c r="R34" s="4" t="n">
        <f aca="false">COUNTIFS(Pareado!$F$2:$F$65,"Bug plantado",Pareado!$D$2:$D$65,"FS",Pareado!$W$2:$W$65,3)</f>
        <v>2</v>
      </c>
      <c r="S34" s="4" t="n">
        <f aca="false">COUNTIFS(Pareado!$F$2:$F$65,"Bug plantado",Pareado!$D$2:$D$65,"FS",Pareado!$Y$2:$Y$65,"&lt;&gt;executa")</f>
        <v>1</v>
      </c>
      <c r="T34" s="4" t="n">
        <f aca="false">SUMIFS(Pareado!$AA$2:$AA$65,Pareado!$F$2:$F$65,"Bug plantado",Pareado!$D$2:$D$65,"FS")</f>
        <v>0</v>
      </c>
      <c r="U34" s="4" t="n">
        <f aca="false">COUNTIFS(Pareado!$F$2:$F$65,"Bug plantado",Pareado!$D$2:$D$65,"FS",Pareado!$AF$2:$AF$65,"ChatGPT")</f>
        <v>3</v>
      </c>
      <c r="V34" s="4" t="n">
        <f aca="false">COUNTIFS(Pareado!$F$2:$F$65,"Bug plantado",Pareado!$D$2:$D$65,"FS",Pareado!$AF$2:$AF$65,"empate")</f>
        <v>2</v>
      </c>
      <c r="W34" s="4" t="n">
        <f aca="false">COUNTIFS(Pareado!$F$2:$F$65,"Bug plantado",Pareado!$D$2:$D$65,"FS",Pareado!$AF$2:$AF$65,"Gemini")</f>
        <v>1</v>
      </c>
      <c r="X34" s="4" t="n">
        <f aca="false">COUNTIFS(Pareado!$F$2:$F$65,"Bug plantado",Pareado!$D$2:$D$65,"FS",Pareado!$AG$2:$AG$65,"ChatGPT")</f>
        <v>1</v>
      </c>
      <c r="Y34" s="4" t="n">
        <f aca="false">COUNTIFS(Pareado!$F$2:$F$65,"Bug plantado",Pareado!$D$2:$D$65,"FS",Pareado!$AG$2:$AG$65,"empate")</f>
        <v>2</v>
      </c>
      <c r="Z34" s="4" t="n">
        <f aca="false">COUNTIFS(Pareado!$F$2:$F$65,"Bug plantado",Pareado!$D$2:$D$65,"FS",Pareado!$AG$2:$AG$65,"Gemini")</f>
        <v>3</v>
      </c>
    </row>
    <row r="35" customFormat="false" ht="15" hidden="false" customHeight="false" outlineLevel="0" collapsed="false">
      <c r="A35" s="4" t="s">
        <v>47</v>
      </c>
      <c r="B35" s="4" t="s">
        <v>207</v>
      </c>
      <c r="C35" s="4" t="s">
        <v>61</v>
      </c>
      <c r="D35" s="4" t="n">
        <f aca="false">COUNTIFS(Pareado!$F$2:$F$65,"Bug plantado",Pareado!$D$2:$D$65,"COT")</f>
        <v>6</v>
      </c>
      <c r="E35" s="4" t="n">
        <f aca="false">SUMIFS(Pareado!$I$2:$I$65,Pareado!$F$2:$F$65,"Bug plantado",Pareado!$D$2:$D$65,"COT")</f>
        <v>86</v>
      </c>
      <c r="F35" s="4" t="n">
        <f aca="false">SUMIFS(Pareado!$J$2:$J$65,Pareado!$F$2:$F$65,"Bug plantado",Pareado!$D$2:$D$65,"COT")</f>
        <v>52</v>
      </c>
      <c r="G35" s="5" t="n">
        <f aca="false">IFERROR(F35/(F35+SUMIFS(Pareado!$K$2:$K$65,Pareado!$F$2:$F$65,"Bug plantado",Pareado!$D$2:$D$65,"COT",Pareado!$O$2:$O$65,"executa")),0)</f>
        <v>0.8</v>
      </c>
      <c r="H35" s="4" t="n">
        <f aca="false">COUNTIFS(Pareado!$F$2:$F$65,"Bug plantado",Pareado!$D$2:$D$65,"COT",Pareado!$L$2:$L$65,1)</f>
        <v>3</v>
      </c>
      <c r="I35" s="4" t="n">
        <f aca="false">SUMIFS(Pareado!$M$2:$M$65,Pareado!$F$2:$F$65,"Bug plantado",Pareado!$D$2:$D$65,"COT")</f>
        <v>9</v>
      </c>
      <c r="J35" s="4" t="n">
        <f aca="false">COUNTIFS(Pareado!$F$2:$F$65,"Bug plantado",Pareado!$D$2:$D$65,"COT",Pareado!$M$2:$M$65,3)</f>
        <v>3</v>
      </c>
      <c r="K35" s="4" t="n">
        <f aca="false">COUNTIFS(Pareado!$F$2:$F$65,"Bug plantado",Pareado!$D$2:$D$65,"COT",Pareado!$O$2:$O$65,"&lt;&gt;executa")</f>
        <v>1</v>
      </c>
      <c r="L35" s="4" t="n">
        <f aca="false">COUNTIFS(Pareado!$F$2:$F$65,"Bug plantado",Pareado!$D$2:$D$65,"COT",Pareado!$P$2:$P$65,"Sim")</f>
        <v>0</v>
      </c>
      <c r="M35" s="4" t="n">
        <f aca="false">SUMIFS(Pareado!$S$2:$S$65,Pareado!$F$2:$F$65,"Bug plantado",Pareado!$D$2:$D$65,"COT")</f>
        <v>47</v>
      </c>
      <c r="N35" s="4" t="n">
        <f aca="false">SUMIFS(Pareado!$T$2:$T$65,Pareado!$F$2:$F$65,"Bug plantado",Pareado!$D$2:$D$65,"COT")</f>
        <v>42</v>
      </c>
      <c r="O35" s="5" t="n">
        <f aca="false">IFERROR(N35/(N35+SUMIFS(Pareado!$U$2:$U$65,Pareado!$F$2:$F$65,"Bug plantado",Pareado!$D$2:$D$65,"COT",Pareado!$Y$2:$Y$65,"executa")),0)</f>
        <v>0.893617021276596</v>
      </c>
      <c r="P35" s="4" t="n">
        <f aca="false">COUNTIFS(Pareado!$F$2:$F$65,"Bug plantado",Pareado!$D$2:$D$65,"COT",Pareado!$V$2:$V$65,1)</f>
        <v>4</v>
      </c>
      <c r="Q35" s="4" t="n">
        <f aca="false">SUMIFS(Pareado!$W$2:$W$65,Pareado!$F$2:$F$65,"Bug plantado",Pareado!$D$2:$D$65,"COT")</f>
        <v>5</v>
      </c>
      <c r="R35" s="4" t="n">
        <f aca="false">COUNTIFS(Pareado!$F$2:$F$65,"Bug plantado",Pareado!$D$2:$D$65,"COT",Pareado!$W$2:$W$65,3)</f>
        <v>1</v>
      </c>
      <c r="S35" s="4" t="n">
        <f aca="false">COUNTIFS(Pareado!$F$2:$F$65,"Bug plantado",Pareado!$D$2:$D$65,"COT",Pareado!$Y$2:$Y$65,"&lt;&gt;executa")</f>
        <v>0</v>
      </c>
      <c r="T35" s="4" t="n">
        <f aca="false">SUMIFS(Pareado!$AA$2:$AA$65,Pareado!$F$2:$F$65,"Bug plantado",Pareado!$D$2:$D$65,"COT")</f>
        <v>1</v>
      </c>
      <c r="U35" s="4" t="n">
        <f aca="false">COUNTIFS(Pareado!$F$2:$F$65,"Bug plantado",Pareado!$D$2:$D$65,"COT",Pareado!$AF$2:$AF$65,"ChatGPT")</f>
        <v>5</v>
      </c>
      <c r="V35" s="4" t="n">
        <f aca="false">COUNTIFS(Pareado!$F$2:$F$65,"Bug plantado",Pareado!$D$2:$D$65,"COT",Pareado!$AF$2:$AF$65,"empate")</f>
        <v>1</v>
      </c>
      <c r="W35" s="4" t="n">
        <f aca="false">COUNTIFS(Pareado!$F$2:$F$65,"Bug plantado",Pareado!$D$2:$D$65,"COT",Pareado!$AF$2:$AF$65,"Gemini")</f>
        <v>0</v>
      </c>
      <c r="X35" s="4" t="n">
        <f aca="false">COUNTIFS(Pareado!$F$2:$F$65,"Bug plantado",Pareado!$D$2:$D$65,"COT",Pareado!$AG$2:$AG$65,"ChatGPT")</f>
        <v>0</v>
      </c>
      <c r="Y35" s="4" t="n">
        <f aca="false">COUNTIFS(Pareado!$F$2:$F$65,"Bug plantado",Pareado!$D$2:$D$65,"COT",Pareado!$AG$2:$AG$65,"empate")</f>
        <v>3</v>
      </c>
      <c r="Z35" s="4" t="n">
        <f aca="false">COUNTIFS(Pareado!$F$2:$F$65,"Bug plantado",Pareado!$D$2:$D$65,"COT",Pareado!$AG$2:$AG$65,"Gemini")</f>
        <v>3</v>
      </c>
    </row>
    <row r="36" customFormat="false" ht="15" hidden="false" customHeight="false" outlineLevel="0" collapsed="false">
      <c r="A36" s="7" t="s">
        <v>47</v>
      </c>
      <c r="B36" s="7" t="s">
        <v>207</v>
      </c>
      <c r="C36" s="7" t="s">
        <v>206</v>
      </c>
      <c r="D36" s="7" t="n">
        <f aca="false">COUNTIFS(Pareado!$F$2:$F$65,"Bug plantado")</f>
        <v>18</v>
      </c>
      <c r="E36" s="7" t="n">
        <f aca="false">SUMIFS(Pareado!$I$2:$I$65,Pareado!$F$2:$F$65,"Bug plantado")</f>
        <v>183</v>
      </c>
      <c r="F36" s="7" t="n">
        <f aca="false">SUMIFS(Pareado!$J$2:$J$65,Pareado!$F$2:$F$65,"Bug plantado")</f>
        <v>113</v>
      </c>
      <c r="G36" s="8" t="n">
        <f aca="false">IFERROR(F36/(F36+SUMIFS(Pareado!$K$2:$K$65,Pareado!$F$2:$F$65,"Bug plantado",Pareado!$O$2:$O$65,"executa")),0)</f>
        <v>0.843283582089552</v>
      </c>
      <c r="H36" s="7" t="n">
        <f aca="false">COUNTIFS(Pareado!$F$2:$F$65,"Bug plantado",Pareado!$L$2:$L$65,1)</f>
        <v>8</v>
      </c>
      <c r="I36" s="7" t="n">
        <f aca="false">SUMIFS(Pareado!$M$2:$M$65,Pareado!$F$2:$F$65,"Bug plantado")</f>
        <v>28</v>
      </c>
      <c r="J36" s="7" t="n">
        <f aca="false">COUNTIFS(Pareado!$F$2:$F$65,"Bug plantado",Pareado!$M$2:$M$65,3)</f>
        <v>9</v>
      </c>
      <c r="K36" s="7" t="n">
        <f aca="false">COUNTIFS(Pareado!$F$2:$F$65,"Bug plantado",Pareado!$O$2:$O$65,"&lt;&gt;executa")</f>
        <v>4</v>
      </c>
      <c r="L36" s="7" t="n">
        <f aca="false">COUNTIFS(Pareado!$F$2:$F$65,"Bug plantado",Pareado!$P$2:$P$65,"Sim")</f>
        <v>0</v>
      </c>
      <c r="M36" s="7" t="n">
        <f aca="false">SUMIFS(Pareado!$S$2:$S$65,Pareado!$F$2:$F$65,"Bug plantado")</f>
        <v>119</v>
      </c>
      <c r="N36" s="7" t="n">
        <f aca="false">SUMIFS(Pareado!$T$2:$T$65,Pareado!$F$2:$F$65,"Bug plantado")</f>
        <v>102</v>
      </c>
      <c r="O36" s="8" t="n">
        <f aca="false">IFERROR(N36/(N36+SUMIFS(Pareado!$U$2:$U$65,Pareado!$F$2:$F$65,"Bug plantado",Pareado!$Y$2:$Y$65,"executa")),0)</f>
        <v>0.871794871794872</v>
      </c>
      <c r="P36" s="7" t="n">
        <f aca="false">COUNTIFS(Pareado!$F$2:$F$65,"Bug plantado",Pareado!$V$2:$V$65,1)</f>
        <v>11</v>
      </c>
      <c r="Q36" s="7" t="n">
        <f aca="false">SUMIFS(Pareado!$W$2:$W$65,Pareado!$F$2:$F$65,"Bug plantado")</f>
        <v>21</v>
      </c>
      <c r="R36" s="7" t="n">
        <f aca="false">COUNTIFS(Pareado!$F$2:$F$65,"Bug plantado",Pareado!$W$2:$W$65,3)</f>
        <v>4</v>
      </c>
      <c r="S36" s="7" t="n">
        <f aca="false">COUNTIFS(Pareado!$F$2:$F$65,"Bug plantado",Pareado!$Y$2:$Y$65,"&lt;&gt;executa")</f>
        <v>1</v>
      </c>
      <c r="T36" s="7" t="n">
        <f aca="false">SUMIFS(Pareado!$AA$2:$AA$65,Pareado!$F$2:$F$65,"Bug plantado")</f>
        <v>2</v>
      </c>
      <c r="U36" s="7" t="n">
        <f aca="false">COUNTIFS(Pareado!$F$2:$F$65,"Bug plantado",Pareado!$AF$2:$AF$65,"ChatGPT")</f>
        <v>13</v>
      </c>
      <c r="V36" s="7" t="n">
        <f aca="false">COUNTIFS(Pareado!$F$2:$F$65,"Bug plantado",Pareado!$AF$2:$AF$65,"empate")</f>
        <v>4</v>
      </c>
      <c r="W36" s="7" t="n">
        <f aca="false">COUNTIFS(Pareado!$F$2:$F$65,"Bug plantado",Pareado!$AF$2:$AF$65,"Gemini")</f>
        <v>1</v>
      </c>
      <c r="X36" s="7" t="n">
        <f aca="false">COUNTIFS(Pareado!$F$2:$F$65,"Bug plantado",Pareado!$AG$2:$AG$65,"ChatGPT")</f>
        <v>1</v>
      </c>
      <c r="Y36" s="7" t="n">
        <f aca="false">COUNTIFS(Pareado!$F$2:$F$65,"Bug plantado",Pareado!$AG$2:$AG$65,"empate")</f>
        <v>9</v>
      </c>
      <c r="Z36" s="7" t="n">
        <f aca="false">COUNTIFS(Pareado!$F$2:$F$65,"Bug plantado",Pareado!$AG$2:$AG$65,"Gemini")</f>
        <v>8</v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5"/>
      <c r="H37" s="4"/>
      <c r="I37" s="4"/>
      <c r="J37" s="4"/>
      <c r="K37" s="4"/>
      <c r="L37" s="4"/>
      <c r="M37" s="4"/>
      <c r="N37" s="4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26.85" hidden="false" customHeight="false" outlineLevel="0" collapsed="false">
      <c r="A38" s="4" t="s">
        <v>136</v>
      </c>
      <c r="B38" s="4" t="s">
        <v>44</v>
      </c>
      <c r="C38" s="4" t="s">
        <v>45</v>
      </c>
      <c r="D38" s="4" t="n">
        <f aca="false">COUNTIFS(Pareado!$F$2:$F$65,"formatName (bug nativo)",Pareado!$C$2:$C$65,"Unitário",Pareado!$D$2:$D$65,"ZS")</f>
        <v>1</v>
      </c>
      <c r="E38" s="4" t="n">
        <f aca="false">SUMIFS(Pareado!$I$2:$I$65,Pareado!$F$2:$F$65,"formatName (bug nativo)",Pareado!$C$2:$C$65,"Unitário",Pareado!$D$2:$D$65,"ZS")</f>
        <v>13</v>
      </c>
      <c r="F38" s="4" t="n">
        <f aca="false">SUMIFS(Pareado!$J$2:$J$65,Pareado!$F$2:$F$65,"formatName (bug nativo)",Pareado!$C$2:$C$65,"Unitário",Pareado!$D$2:$D$65,"ZS")</f>
        <v>13</v>
      </c>
      <c r="G38" s="5" t="n">
        <f aca="false">IFERROR(F38/(F38+SUMIFS(Pareado!$K$2:$K$65,Pareado!$F$2:$F$65,"formatName (bug nativo)",Pareado!$C$2:$C$65,"Unitário",Pareado!$D$2:$D$65,"ZS",Pareado!$O$2:$O$65,"executa")),0)</f>
        <v>1</v>
      </c>
      <c r="H38" s="4" t="n">
        <f aca="false">COUNTIFS(Pareado!$F$2:$F$65,"formatName (bug nativo)",Pareado!$C$2:$C$65,"Unitário",Pareado!$D$2:$D$65,"ZS",Pareado!$L$2:$L$65,1)</f>
        <v>1</v>
      </c>
      <c r="I38" s="4" t="n">
        <f aca="false">SUMIFS(Pareado!$M$2:$M$65,Pareado!$F$2:$F$65,"formatName (bug nativo)",Pareado!$C$2:$C$65,"Unitário",Pareado!$D$2:$D$65,"ZS")</f>
        <v>0</v>
      </c>
      <c r="J38" s="4" t="n">
        <f aca="false">COUNTIFS(Pareado!$F$2:$F$65,"formatName (bug nativo)",Pareado!$C$2:$C$65,"Unitário",Pareado!$D$2:$D$65,"ZS",Pareado!$M$2:$M$65,3)</f>
        <v>0</v>
      </c>
      <c r="K38" s="4" t="n">
        <f aca="false">COUNTIFS(Pareado!$F$2:$F$65,"formatName (bug nativo)",Pareado!$C$2:$C$65,"Unitário",Pareado!$D$2:$D$65,"ZS",Pareado!$O$2:$O$65,"&lt;&gt;executa")</f>
        <v>0</v>
      </c>
      <c r="L38" s="4" t="n">
        <f aca="false">COUNTIFS(Pareado!$F$2:$F$65,"formatName (bug nativo)",Pareado!$C$2:$C$65,"Unitário",Pareado!$D$2:$D$65,"ZS",Pareado!$P$2:$P$65,"Sim")</f>
        <v>0</v>
      </c>
      <c r="M38" s="4" t="n">
        <f aca="false">SUMIFS(Pareado!$S$2:$S$65,Pareado!$F$2:$F$65,"formatName (bug nativo)",Pareado!$C$2:$C$65,"Unitário",Pareado!$D$2:$D$65,"ZS")</f>
        <v>10</v>
      </c>
      <c r="N38" s="4" t="n">
        <f aca="false">SUMIFS(Pareado!$T$2:$T$65,Pareado!$F$2:$F$65,"formatName (bug nativo)",Pareado!$C$2:$C$65,"Unitário",Pareado!$D$2:$D$65,"ZS")</f>
        <v>10</v>
      </c>
      <c r="O38" s="5" t="n">
        <f aca="false">IFERROR(N38/(N38+SUMIFS(Pareado!$U$2:$U$65,Pareado!$F$2:$F$65,"formatName (bug nativo)",Pareado!$C$2:$C$65,"Unitário",Pareado!$D$2:$D$65,"ZS",Pareado!$Y$2:$Y$65,"executa")),0)</f>
        <v>1</v>
      </c>
      <c r="P38" s="4" t="n">
        <f aca="false">COUNTIFS(Pareado!$F$2:$F$65,"formatName (bug nativo)",Pareado!$C$2:$C$65,"Unitário",Pareado!$D$2:$D$65,"ZS",Pareado!$V$2:$V$65,1)</f>
        <v>1</v>
      </c>
      <c r="Q38" s="4" t="n">
        <f aca="false">SUMIFS(Pareado!$W$2:$W$65,Pareado!$F$2:$F$65,"formatName (bug nativo)",Pareado!$C$2:$C$65,"Unitário",Pareado!$D$2:$D$65,"ZS")</f>
        <v>0</v>
      </c>
      <c r="R38" s="4" t="n">
        <f aca="false">COUNTIFS(Pareado!$F$2:$F$65,"formatName (bug nativo)",Pareado!$C$2:$C$65,"Unitário",Pareado!$D$2:$D$65,"ZS",Pareado!$W$2:$W$65,3)</f>
        <v>0</v>
      </c>
      <c r="S38" s="4" t="n">
        <f aca="false">COUNTIFS(Pareado!$F$2:$F$65,"formatName (bug nativo)",Pareado!$C$2:$C$65,"Unitário",Pareado!$D$2:$D$65,"ZS",Pareado!$Y$2:$Y$65,"&lt;&gt;executa")</f>
        <v>0</v>
      </c>
      <c r="T38" s="4" t="n">
        <f aca="false">SUMIFS(Pareado!$AA$2:$AA$65,Pareado!$F$2:$F$65,"formatName (bug nativo)",Pareado!$C$2:$C$65,"Unitário",Pareado!$D$2:$D$65,"ZS")</f>
        <v>2</v>
      </c>
      <c r="U38" s="4" t="n">
        <f aca="false">COUNTIFS(Pareado!$F$2:$F$65,"formatName (bug nativo)",Pareado!$C$2:$C$65,"Unitário",Pareado!$D$2:$D$65,"ZS",Pareado!$AF$2:$AF$65,"ChatGPT")</f>
        <v>1</v>
      </c>
      <c r="V38" s="4" t="n">
        <f aca="false">COUNTIFS(Pareado!$F$2:$F$65,"formatName (bug nativo)",Pareado!$C$2:$C$65,"Unitário",Pareado!$D$2:$D$65,"ZS",Pareado!$AF$2:$AF$65,"empate")</f>
        <v>0</v>
      </c>
      <c r="W38" s="4" t="n">
        <f aca="false">COUNTIFS(Pareado!$F$2:$F$65,"formatName (bug nativo)",Pareado!$C$2:$C$65,"Unitário",Pareado!$D$2:$D$65,"ZS",Pareado!$AF$2:$AF$65,"Gemini")</f>
        <v>0</v>
      </c>
      <c r="X38" s="4" t="n">
        <f aca="false">COUNTIFS(Pareado!$F$2:$F$65,"formatName (bug nativo)",Pareado!$C$2:$C$65,"Unitário",Pareado!$D$2:$D$65,"ZS",Pareado!$AG$2:$AG$65,"ChatGPT")</f>
        <v>0</v>
      </c>
      <c r="Y38" s="4" t="n">
        <f aca="false">COUNTIFS(Pareado!$F$2:$F$65,"formatName (bug nativo)",Pareado!$C$2:$C$65,"Unitário",Pareado!$D$2:$D$65,"ZS",Pareado!$AG$2:$AG$65,"empate")</f>
        <v>1</v>
      </c>
      <c r="Z38" s="4" t="n">
        <f aca="false">COUNTIFS(Pareado!$F$2:$F$65,"formatName (bug nativo)",Pareado!$C$2:$C$65,"Unitário",Pareado!$D$2:$D$65,"ZS",Pareado!$AG$2:$AG$65,"Gemini")</f>
        <v>0</v>
      </c>
    </row>
    <row r="39" customFormat="false" ht="26.85" hidden="false" customHeight="false" outlineLevel="0" collapsed="false">
      <c r="A39" s="4" t="s">
        <v>136</v>
      </c>
      <c r="B39" s="4" t="s">
        <v>44</v>
      </c>
      <c r="C39" s="4" t="s">
        <v>56</v>
      </c>
      <c r="D39" s="4" t="n">
        <f aca="false">COUNTIFS(Pareado!$F$2:$F$65,"formatName (bug nativo)",Pareado!$C$2:$C$65,"Unitário",Pareado!$D$2:$D$65,"FS")</f>
        <v>1</v>
      </c>
      <c r="E39" s="4" t="n">
        <f aca="false">SUMIFS(Pareado!$I$2:$I$65,Pareado!$F$2:$F$65,"formatName (bug nativo)",Pareado!$C$2:$C$65,"Unitário",Pareado!$D$2:$D$65,"FS")</f>
        <v>4</v>
      </c>
      <c r="F39" s="4" t="n">
        <f aca="false">SUMIFS(Pareado!$J$2:$J$65,Pareado!$F$2:$F$65,"formatName (bug nativo)",Pareado!$C$2:$C$65,"Unitário",Pareado!$D$2:$D$65,"FS")</f>
        <v>4</v>
      </c>
      <c r="G39" s="5" t="n">
        <f aca="false">IFERROR(F39/(F39+SUMIFS(Pareado!$K$2:$K$65,Pareado!$F$2:$F$65,"formatName (bug nativo)",Pareado!$C$2:$C$65,"Unitário",Pareado!$D$2:$D$65,"FS",Pareado!$O$2:$O$65,"executa")),0)</f>
        <v>1</v>
      </c>
      <c r="H39" s="4" t="n">
        <f aca="false">COUNTIFS(Pareado!$F$2:$F$65,"formatName (bug nativo)",Pareado!$C$2:$C$65,"Unitário",Pareado!$D$2:$D$65,"FS",Pareado!$L$2:$L$65,1)</f>
        <v>1</v>
      </c>
      <c r="I39" s="4" t="n">
        <f aca="false">SUMIFS(Pareado!$M$2:$M$65,Pareado!$F$2:$F$65,"formatName (bug nativo)",Pareado!$C$2:$C$65,"Unitário",Pareado!$D$2:$D$65,"FS")</f>
        <v>0</v>
      </c>
      <c r="J39" s="4" t="n">
        <f aca="false">COUNTIFS(Pareado!$F$2:$F$65,"formatName (bug nativo)",Pareado!$C$2:$C$65,"Unitário",Pareado!$D$2:$D$65,"FS",Pareado!$M$2:$M$65,3)</f>
        <v>0</v>
      </c>
      <c r="K39" s="4" t="n">
        <f aca="false">COUNTIFS(Pareado!$F$2:$F$65,"formatName (bug nativo)",Pareado!$C$2:$C$65,"Unitário",Pareado!$D$2:$D$65,"FS",Pareado!$O$2:$O$65,"&lt;&gt;executa")</f>
        <v>0</v>
      </c>
      <c r="L39" s="4" t="n">
        <f aca="false">COUNTIFS(Pareado!$F$2:$F$65,"formatName (bug nativo)",Pareado!$C$2:$C$65,"Unitário",Pareado!$D$2:$D$65,"FS",Pareado!$P$2:$P$65,"Sim")</f>
        <v>0</v>
      </c>
      <c r="M39" s="4" t="n">
        <f aca="false">SUMIFS(Pareado!$S$2:$S$65,Pareado!$F$2:$F$65,"formatName (bug nativo)",Pareado!$C$2:$C$65,"Unitário",Pareado!$D$2:$D$65,"FS")</f>
        <v>5</v>
      </c>
      <c r="N39" s="4" t="n">
        <f aca="false">SUMIFS(Pareado!$T$2:$T$65,Pareado!$F$2:$F$65,"formatName (bug nativo)",Pareado!$C$2:$C$65,"Unitário",Pareado!$D$2:$D$65,"FS")</f>
        <v>5</v>
      </c>
      <c r="O39" s="5" t="n">
        <f aca="false">IFERROR(N39/(N39+SUMIFS(Pareado!$U$2:$U$65,Pareado!$F$2:$F$65,"formatName (bug nativo)",Pareado!$C$2:$C$65,"Unitário",Pareado!$D$2:$D$65,"FS",Pareado!$Y$2:$Y$65,"executa")),0)</f>
        <v>1</v>
      </c>
      <c r="P39" s="4" t="n">
        <f aca="false">COUNTIFS(Pareado!$F$2:$F$65,"formatName (bug nativo)",Pareado!$C$2:$C$65,"Unitário",Pareado!$D$2:$D$65,"FS",Pareado!$V$2:$V$65,1)</f>
        <v>1</v>
      </c>
      <c r="Q39" s="4" t="n">
        <f aca="false">SUMIFS(Pareado!$W$2:$W$65,Pareado!$F$2:$F$65,"formatName (bug nativo)",Pareado!$C$2:$C$65,"Unitário",Pareado!$D$2:$D$65,"FS")</f>
        <v>0</v>
      </c>
      <c r="R39" s="4" t="n">
        <f aca="false">COUNTIFS(Pareado!$F$2:$F$65,"formatName (bug nativo)",Pareado!$C$2:$C$65,"Unitário",Pareado!$D$2:$D$65,"FS",Pareado!$W$2:$W$65,3)</f>
        <v>0</v>
      </c>
      <c r="S39" s="4" t="n">
        <f aca="false">COUNTIFS(Pareado!$F$2:$F$65,"formatName (bug nativo)",Pareado!$C$2:$C$65,"Unitário",Pareado!$D$2:$D$65,"FS",Pareado!$Y$2:$Y$65,"&lt;&gt;executa")</f>
        <v>0</v>
      </c>
      <c r="T39" s="4" t="n">
        <f aca="false">SUMIFS(Pareado!$AA$2:$AA$65,Pareado!$F$2:$F$65,"formatName (bug nativo)",Pareado!$C$2:$C$65,"Unitário",Pareado!$D$2:$D$65,"FS")</f>
        <v>0</v>
      </c>
      <c r="U39" s="4" t="n">
        <f aca="false">COUNTIFS(Pareado!$F$2:$F$65,"formatName (bug nativo)",Pareado!$C$2:$C$65,"Unitário",Pareado!$D$2:$D$65,"FS",Pareado!$AF$2:$AF$65,"ChatGPT")</f>
        <v>0</v>
      </c>
      <c r="V39" s="4" t="n">
        <f aca="false">COUNTIFS(Pareado!$F$2:$F$65,"formatName (bug nativo)",Pareado!$C$2:$C$65,"Unitário",Pareado!$D$2:$D$65,"FS",Pareado!$AF$2:$AF$65,"empate")</f>
        <v>0</v>
      </c>
      <c r="W39" s="4" t="n">
        <f aca="false">COUNTIFS(Pareado!$F$2:$F$65,"formatName (bug nativo)",Pareado!$C$2:$C$65,"Unitário",Pareado!$D$2:$D$65,"FS",Pareado!$AF$2:$AF$65,"Gemini")</f>
        <v>1</v>
      </c>
      <c r="X39" s="4" t="n">
        <f aca="false">COUNTIFS(Pareado!$F$2:$F$65,"formatName (bug nativo)",Pareado!$C$2:$C$65,"Unitário",Pareado!$D$2:$D$65,"FS",Pareado!$AG$2:$AG$65,"ChatGPT")</f>
        <v>0</v>
      </c>
      <c r="Y39" s="4" t="n">
        <f aca="false">COUNTIFS(Pareado!$F$2:$F$65,"formatName (bug nativo)",Pareado!$C$2:$C$65,"Unitário",Pareado!$D$2:$D$65,"FS",Pareado!$AG$2:$AG$65,"empate")</f>
        <v>1</v>
      </c>
      <c r="Z39" s="4" t="n">
        <f aca="false">COUNTIFS(Pareado!$F$2:$F$65,"formatName (bug nativo)",Pareado!$C$2:$C$65,"Unitário",Pareado!$D$2:$D$65,"FS",Pareado!$AG$2:$AG$65,"Gemini")</f>
        <v>0</v>
      </c>
    </row>
    <row r="40" customFormat="false" ht="26.85" hidden="false" customHeight="false" outlineLevel="0" collapsed="false">
      <c r="A40" s="4" t="s">
        <v>136</v>
      </c>
      <c r="B40" s="4" t="s">
        <v>44</v>
      </c>
      <c r="C40" s="4" t="s">
        <v>61</v>
      </c>
      <c r="D40" s="4" t="n">
        <f aca="false">COUNTIFS(Pareado!$F$2:$F$65,"formatName (bug nativo)",Pareado!$C$2:$C$65,"Unitário",Pareado!$D$2:$D$65,"COT")</f>
        <v>1</v>
      </c>
      <c r="E40" s="4" t="n">
        <f aca="false">SUMIFS(Pareado!$I$2:$I$65,Pareado!$F$2:$F$65,"formatName (bug nativo)",Pareado!$C$2:$C$65,"Unitário",Pareado!$D$2:$D$65,"COT")</f>
        <v>15</v>
      </c>
      <c r="F40" s="4" t="n">
        <f aca="false">SUMIFS(Pareado!$J$2:$J$65,Pareado!$F$2:$F$65,"formatName (bug nativo)",Pareado!$C$2:$C$65,"Unitário",Pareado!$D$2:$D$65,"COT")</f>
        <v>15</v>
      </c>
      <c r="G40" s="5" t="n">
        <f aca="false">IFERROR(F40/(F40+SUMIFS(Pareado!$K$2:$K$65,Pareado!$F$2:$F$65,"formatName (bug nativo)",Pareado!$C$2:$C$65,"Unitário",Pareado!$D$2:$D$65,"COT",Pareado!$O$2:$O$65,"executa")),0)</f>
        <v>1</v>
      </c>
      <c r="H40" s="4" t="n">
        <f aca="false">COUNTIFS(Pareado!$F$2:$F$65,"formatName (bug nativo)",Pareado!$C$2:$C$65,"Unitário",Pareado!$D$2:$D$65,"COT",Pareado!$L$2:$L$65,1)</f>
        <v>1</v>
      </c>
      <c r="I40" s="4" t="n">
        <f aca="false">SUMIFS(Pareado!$M$2:$M$65,Pareado!$F$2:$F$65,"formatName (bug nativo)",Pareado!$C$2:$C$65,"Unitário",Pareado!$D$2:$D$65,"COT")</f>
        <v>0</v>
      </c>
      <c r="J40" s="4" t="n">
        <f aca="false">COUNTIFS(Pareado!$F$2:$F$65,"formatName (bug nativo)",Pareado!$C$2:$C$65,"Unitário",Pareado!$D$2:$D$65,"COT",Pareado!$M$2:$M$65,3)</f>
        <v>0</v>
      </c>
      <c r="K40" s="4" t="n">
        <f aca="false">COUNTIFS(Pareado!$F$2:$F$65,"formatName (bug nativo)",Pareado!$C$2:$C$65,"Unitário",Pareado!$D$2:$D$65,"COT",Pareado!$O$2:$O$65,"&lt;&gt;executa")</f>
        <v>0</v>
      </c>
      <c r="L40" s="4" t="n">
        <f aca="false">COUNTIFS(Pareado!$F$2:$F$65,"formatName (bug nativo)",Pareado!$C$2:$C$65,"Unitário",Pareado!$D$2:$D$65,"COT",Pareado!$P$2:$P$65,"Sim")</f>
        <v>0</v>
      </c>
      <c r="M40" s="4" t="n">
        <f aca="false">SUMIFS(Pareado!$S$2:$S$65,Pareado!$F$2:$F$65,"formatName (bug nativo)",Pareado!$C$2:$C$65,"Unitário",Pareado!$D$2:$D$65,"COT")</f>
        <v>9</v>
      </c>
      <c r="N40" s="4" t="n">
        <f aca="false">SUMIFS(Pareado!$T$2:$T$65,Pareado!$F$2:$F$65,"formatName (bug nativo)",Pareado!$C$2:$C$65,"Unitário",Pareado!$D$2:$D$65,"COT")</f>
        <v>9</v>
      </c>
      <c r="O40" s="5" t="n">
        <f aca="false">IFERROR(N40/(N40+SUMIFS(Pareado!$U$2:$U$65,Pareado!$F$2:$F$65,"formatName (bug nativo)",Pareado!$C$2:$C$65,"Unitário",Pareado!$D$2:$D$65,"COT",Pareado!$Y$2:$Y$65,"executa")),0)</f>
        <v>1</v>
      </c>
      <c r="P40" s="4" t="n">
        <f aca="false">COUNTIFS(Pareado!$F$2:$F$65,"formatName (bug nativo)",Pareado!$C$2:$C$65,"Unitário",Pareado!$D$2:$D$65,"COT",Pareado!$V$2:$V$65,1)</f>
        <v>1</v>
      </c>
      <c r="Q40" s="4" t="n">
        <f aca="false">SUMIFS(Pareado!$W$2:$W$65,Pareado!$F$2:$F$65,"formatName (bug nativo)",Pareado!$C$2:$C$65,"Unitário",Pareado!$D$2:$D$65,"COT")</f>
        <v>0</v>
      </c>
      <c r="R40" s="4" t="n">
        <f aca="false">COUNTIFS(Pareado!$F$2:$F$65,"formatName (bug nativo)",Pareado!$C$2:$C$65,"Unitário",Pareado!$D$2:$D$65,"COT",Pareado!$W$2:$W$65,3)</f>
        <v>0</v>
      </c>
      <c r="S40" s="4" t="n">
        <f aca="false">COUNTIFS(Pareado!$F$2:$F$65,"formatName (bug nativo)",Pareado!$C$2:$C$65,"Unitário",Pareado!$D$2:$D$65,"COT",Pareado!$Y$2:$Y$65,"&lt;&gt;executa")</f>
        <v>0</v>
      </c>
      <c r="T40" s="4" t="n">
        <f aca="false">SUMIFS(Pareado!$AA$2:$AA$65,Pareado!$F$2:$F$65,"formatName (bug nativo)",Pareado!$C$2:$C$65,"Unitário",Pareado!$D$2:$D$65,"COT")</f>
        <v>0</v>
      </c>
      <c r="U40" s="4" t="n">
        <f aca="false">COUNTIFS(Pareado!$F$2:$F$65,"formatName (bug nativo)",Pareado!$C$2:$C$65,"Unitário",Pareado!$D$2:$D$65,"COT",Pareado!$AF$2:$AF$65,"ChatGPT")</f>
        <v>1</v>
      </c>
      <c r="V40" s="4" t="n">
        <f aca="false">COUNTIFS(Pareado!$F$2:$F$65,"formatName (bug nativo)",Pareado!$C$2:$C$65,"Unitário",Pareado!$D$2:$D$65,"COT",Pareado!$AF$2:$AF$65,"empate")</f>
        <v>0</v>
      </c>
      <c r="W40" s="4" t="n">
        <f aca="false">COUNTIFS(Pareado!$F$2:$F$65,"formatName (bug nativo)",Pareado!$C$2:$C$65,"Unitário",Pareado!$D$2:$D$65,"COT",Pareado!$AF$2:$AF$65,"Gemini")</f>
        <v>0</v>
      </c>
      <c r="X40" s="4" t="n">
        <f aca="false">COUNTIFS(Pareado!$F$2:$F$65,"formatName (bug nativo)",Pareado!$C$2:$C$65,"Unitário",Pareado!$D$2:$D$65,"COT",Pareado!$AG$2:$AG$65,"ChatGPT")</f>
        <v>0</v>
      </c>
      <c r="Y40" s="4" t="n">
        <f aca="false">COUNTIFS(Pareado!$F$2:$F$65,"formatName (bug nativo)",Pareado!$C$2:$C$65,"Unitário",Pareado!$D$2:$D$65,"COT",Pareado!$AG$2:$AG$65,"empate")</f>
        <v>1</v>
      </c>
      <c r="Z40" s="4" t="n">
        <f aca="false">COUNTIFS(Pareado!$F$2:$F$65,"formatName (bug nativo)",Pareado!$C$2:$C$65,"Unitário",Pareado!$D$2:$D$65,"COT",Pareado!$AG$2:$AG$65,"Gemini")</f>
        <v>0</v>
      </c>
    </row>
    <row r="41" customFormat="false" ht="26.85" hidden="false" customHeight="false" outlineLevel="0" collapsed="false">
      <c r="A41" s="7" t="s">
        <v>136</v>
      </c>
      <c r="B41" s="7" t="s">
        <v>44</v>
      </c>
      <c r="C41" s="7" t="s">
        <v>206</v>
      </c>
      <c r="D41" s="7" t="n">
        <f aca="false">COUNTIFS(Pareado!$F$2:$F$65,"formatName (bug nativo)",Pareado!$C$2:$C$65,"Unitário")</f>
        <v>3</v>
      </c>
      <c r="E41" s="7" t="n">
        <f aca="false">SUMIFS(Pareado!$I$2:$I$65,Pareado!$F$2:$F$65,"formatName (bug nativo)",Pareado!$C$2:$C$65,"Unitário")</f>
        <v>32</v>
      </c>
      <c r="F41" s="7" t="n">
        <f aca="false">SUMIFS(Pareado!$J$2:$J$65,Pareado!$F$2:$F$65,"formatName (bug nativo)",Pareado!$C$2:$C$65,"Unitário")</f>
        <v>32</v>
      </c>
      <c r="G41" s="8" t="n">
        <f aca="false">IFERROR(F41/(F41+SUMIFS(Pareado!$K$2:$K$65,Pareado!$F$2:$F$65,"formatName (bug nativo)",Pareado!$C$2:$C$65,"Unitário",Pareado!$O$2:$O$65,"executa")),0)</f>
        <v>1</v>
      </c>
      <c r="H41" s="7" t="n">
        <f aca="false">COUNTIFS(Pareado!$F$2:$F$65,"formatName (bug nativo)",Pareado!$C$2:$C$65,"Unitário",Pareado!$L$2:$L$65,1)</f>
        <v>3</v>
      </c>
      <c r="I41" s="7" t="n">
        <f aca="false">SUMIFS(Pareado!$M$2:$M$65,Pareado!$F$2:$F$65,"formatName (bug nativo)",Pareado!$C$2:$C$65,"Unitário")</f>
        <v>0</v>
      </c>
      <c r="J41" s="7" t="n">
        <f aca="false">COUNTIFS(Pareado!$F$2:$F$65,"formatName (bug nativo)",Pareado!$C$2:$C$65,"Unitário",Pareado!$M$2:$M$65,3)</f>
        <v>0</v>
      </c>
      <c r="K41" s="7" t="n">
        <f aca="false">COUNTIFS(Pareado!$F$2:$F$65,"formatName (bug nativo)",Pareado!$C$2:$C$65,"Unitário",Pareado!$O$2:$O$65,"&lt;&gt;executa")</f>
        <v>0</v>
      </c>
      <c r="L41" s="7" t="n">
        <f aca="false">COUNTIFS(Pareado!$F$2:$F$65,"formatName (bug nativo)",Pareado!$C$2:$C$65,"Unitário",Pareado!$P$2:$P$65,"Sim")</f>
        <v>0</v>
      </c>
      <c r="M41" s="7" t="n">
        <f aca="false">SUMIFS(Pareado!$S$2:$S$65,Pareado!$F$2:$F$65,"formatName (bug nativo)",Pareado!$C$2:$C$65,"Unitário")</f>
        <v>24</v>
      </c>
      <c r="N41" s="7" t="n">
        <f aca="false">SUMIFS(Pareado!$T$2:$T$65,Pareado!$F$2:$F$65,"formatName (bug nativo)",Pareado!$C$2:$C$65,"Unitário")</f>
        <v>24</v>
      </c>
      <c r="O41" s="8" t="n">
        <f aca="false">IFERROR(N41/(N41+SUMIFS(Pareado!$U$2:$U$65,Pareado!$F$2:$F$65,"formatName (bug nativo)",Pareado!$C$2:$C$65,"Unitário",Pareado!$Y$2:$Y$65,"executa")),0)</f>
        <v>1</v>
      </c>
      <c r="P41" s="7" t="n">
        <f aca="false">COUNTIFS(Pareado!$F$2:$F$65,"formatName (bug nativo)",Pareado!$C$2:$C$65,"Unitário",Pareado!$V$2:$V$65,1)</f>
        <v>3</v>
      </c>
      <c r="Q41" s="7" t="n">
        <f aca="false">SUMIFS(Pareado!$W$2:$W$65,Pareado!$F$2:$F$65,"formatName (bug nativo)",Pareado!$C$2:$C$65,"Unitário")</f>
        <v>0</v>
      </c>
      <c r="R41" s="7" t="n">
        <f aca="false">COUNTIFS(Pareado!$F$2:$F$65,"formatName (bug nativo)",Pareado!$C$2:$C$65,"Unitário",Pareado!$W$2:$W$65,3)</f>
        <v>0</v>
      </c>
      <c r="S41" s="7" t="n">
        <f aca="false">COUNTIFS(Pareado!$F$2:$F$65,"formatName (bug nativo)",Pareado!$C$2:$C$65,"Unitário",Pareado!$Y$2:$Y$65,"&lt;&gt;executa")</f>
        <v>0</v>
      </c>
      <c r="T41" s="7" t="n">
        <f aca="false">SUMIFS(Pareado!$AA$2:$AA$65,Pareado!$F$2:$F$65,"formatName (bug nativo)",Pareado!$C$2:$C$65,"Unitário")</f>
        <v>2</v>
      </c>
      <c r="U41" s="7" t="n">
        <f aca="false">COUNTIFS(Pareado!$F$2:$F$65,"formatName (bug nativo)",Pareado!$C$2:$C$65,"Unitário",Pareado!$AF$2:$AF$65,"ChatGPT")</f>
        <v>2</v>
      </c>
      <c r="V41" s="7" t="n">
        <f aca="false">COUNTIFS(Pareado!$F$2:$F$65,"formatName (bug nativo)",Pareado!$C$2:$C$65,"Unitário",Pareado!$AF$2:$AF$65,"empate")</f>
        <v>0</v>
      </c>
      <c r="W41" s="7" t="n">
        <f aca="false">COUNTIFS(Pareado!$F$2:$F$65,"formatName (bug nativo)",Pareado!$C$2:$C$65,"Unitário",Pareado!$AF$2:$AF$65,"Gemini")</f>
        <v>1</v>
      </c>
      <c r="X41" s="7" t="n">
        <f aca="false">COUNTIFS(Pareado!$F$2:$F$65,"formatName (bug nativo)",Pareado!$C$2:$C$65,"Unitário",Pareado!$AG$2:$AG$65,"ChatGPT")</f>
        <v>0</v>
      </c>
      <c r="Y41" s="7" t="n">
        <f aca="false">COUNTIFS(Pareado!$F$2:$F$65,"formatName (bug nativo)",Pareado!$C$2:$C$65,"Unitário",Pareado!$AG$2:$AG$65,"empate")</f>
        <v>3</v>
      </c>
      <c r="Z41" s="7" t="n">
        <f aca="false">COUNTIFS(Pareado!$F$2:$F$65,"formatName (bug nativo)",Pareado!$C$2:$C$65,"Unitário",Pareado!$AG$2:$AG$65,"Gemini")</f>
        <v>0</v>
      </c>
    </row>
    <row r="42" customFormat="false" ht="26.85" hidden="false" customHeight="false" outlineLevel="0" collapsed="false">
      <c r="A42" s="4" t="s">
        <v>136</v>
      </c>
      <c r="B42" s="4" t="s">
        <v>207</v>
      </c>
      <c r="C42" s="4" t="s">
        <v>45</v>
      </c>
      <c r="D42" s="4" t="n">
        <f aca="false">COUNTIFS(Pareado!$F$2:$F$65,"formatName (bug nativo)",Pareado!$D$2:$D$65,"ZS")</f>
        <v>1</v>
      </c>
      <c r="E42" s="4" t="n">
        <f aca="false">SUMIFS(Pareado!$I$2:$I$65,Pareado!$F$2:$F$65,"formatName (bug nativo)",Pareado!$D$2:$D$65,"ZS")</f>
        <v>13</v>
      </c>
      <c r="F42" s="4" t="n">
        <f aca="false">SUMIFS(Pareado!$J$2:$J$65,Pareado!$F$2:$F$65,"formatName (bug nativo)",Pareado!$D$2:$D$65,"ZS")</f>
        <v>13</v>
      </c>
      <c r="G42" s="5" t="n">
        <f aca="false">IFERROR(F42/(F42+SUMIFS(Pareado!$K$2:$K$65,Pareado!$F$2:$F$65,"formatName (bug nativo)",Pareado!$D$2:$D$65,"ZS",Pareado!$O$2:$O$65,"executa")),0)</f>
        <v>1</v>
      </c>
      <c r="H42" s="4" t="n">
        <f aca="false">COUNTIFS(Pareado!$F$2:$F$65,"formatName (bug nativo)",Pareado!$D$2:$D$65,"ZS",Pareado!$L$2:$L$65,1)</f>
        <v>1</v>
      </c>
      <c r="I42" s="4" t="n">
        <f aca="false">SUMIFS(Pareado!$M$2:$M$65,Pareado!$F$2:$F$65,"formatName (bug nativo)",Pareado!$D$2:$D$65,"ZS")</f>
        <v>0</v>
      </c>
      <c r="J42" s="4" t="n">
        <f aca="false">COUNTIFS(Pareado!$F$2:$F$65,"formatName (bug nativo)",Pareado!$D$2:$D$65,"ZS",Pareado!$M$2:$M$65,3)</f>
        <v>0</v>
      </c>
      <c r="K42" s="4" t="n">
        <f aca="false">COUNTIFS(Pareado!$F$2:$F$65,"formatName (bug nativo)",Pareado!$D$2:$D$65,"ZS",Pareado!$O$2:$O$65,"&lt;&gt;executa")</f>
        <v>0</v>
      </c>
      <c r="L42" s="4" t="n">
        <f aca="false">COUNTIFS(Pareado!$F$2:$F$65,"formatName (bug nativo)",Pareado!$D$2:$D$65,"ZS",Pareado!$P$2:$P$65,"Sim")</f>
        <v>0</v>
      </c>
      <c r="M42" s="4" t="n">
        <f aca="false">SUMIFS(Pareado!$S$2:$S$65,Pareado!$F$2:$F$65,"formatName (bug nativo)",Pareado!$D$2:$D$65,"ZS")</f>
        <v>10</v>
      </c>
      <c r="N42" s="4" t="n">
        <f aca="false">SUMIFS(Pareado!$T$2:$T$65,Pareado!$F$2:$F$65,"formatName (bug nativo)",Pareado!$D$2:$D$65,"ZS")</f>
        <v>10</v>
      </c>
      <c r="O42" s="5" t="n">
        <f aca="false">IFERROR(N42/(N42+SUMIFS(Pareado!$U$2:$U$65,Pareado!$F$2:$F$65,"formatName (bug nativo)",Pareado!$D$2:$D$65,"ZS",Pareado!$Y$2:$Y$65,"executa")),0)</f>
        <v>1</v>
      </c>
      <c r="P42" s="4" t="n">
        <f aca="false">COUNTIFS(Pareado!$F$2:$F$65,"formatName (bug nativo)",Pareado!$D$2:$D$65,"ZS",Pareado!$V$2:$V$65,1)</f>
        <v>1</v>
      </c>
      <c r="Q42" s="4" t="n">
        <f aca="false">SUMIFS(Pareado!$W$2:$W$65,Pareado!$F$2:$F$65,"formatName (bug nativo)",Pareado!$D$2:$D$65,"ZS")</f>
        <v>0</v>
      </c>
      <c r="R42" s="4" t="n">
        <f aca="false">COUNTIFS(Pareado!$F$2:$F$65,"formatName (bug nativo)",Pareado!$D$2:$D$65,"ZS",Pareado!$W$2:$W$65,3)</f>
        <v>0</v>
      </c>
      <c r="S42" s="4" t="n">
        <f aca="false">COUNTIFS(Pareado!$F$2:$F$65,"formatName (bug nativo)",Pareado!$D$2:$D$65,"ZS",Pareado!$Y$2:$Y$65,"&lt;&gt;executa")</f>
        <v>0</v>
      </c>
      <c r="T42" s="4" t="n">
        <f aca="false">SUMIFS(Pareado!$AA$2:$AA$65,Pareado!$F$2:$F$65,"formatName (bug nativo)",Pareado!$D$2:$D$65,"ZS")</f>
        <v>2</v>
      </c>
      <c r="U42" s="4" t="n">
        <f aca="false">COUNTIFS(Pareado!$F$2:$F$65,"formatName (bug nativo)",Pareado!$D$2:$D$65,"ZS",Pareado!$AF$2:$AF$65,"ChatGPT")</f>
        <v>1</v>
      </c>
      <c r="V42" s="4" t="n">
        <f aca="false">COUNTIFS(Pareado!$F$2:$F$65,"formatName (bug nativo)",Pareado!$D$2:$D$65,"ZS",Pareado!$AF$2:$AF$65,"empate")</f>
        <v>0</v>
      </c>
      <c r="W42" s="4" t="n">
        <f aca="false">COUNTIFS(Pareado!$F$2:$F$65,"formatName (bug nativo)",Pareado!$D$2:$D$65,"ZS",Pareado!$AF$2:$AF$65,"Gemini")</f>
        <v>0</v>
      </c>
      <c r="X42" s="4" t="n">
        <f aca="false">COUNTIFS(Pareado!$F$2:$F$65,"formatName (bug nativo)",Pareado!$D$2:$D$65,"ZS",Pareado!$AG$2:$AG$65,"ChatGPT")</f>
        <v>0</v>
      </c>
      <c r="Y42" s="4" t="n">
        <f aca="false">COUNTIFS(Pareado!$F$2:$F$65,"formatName (bug nativo)",Pareado!$D$2:$D$65,"ZS",Pareado!$AG$2:$AG$65,"empate")</f>
        <v>1</v>
      </c>
      <c r="Z42" s="4" t="n">
        <f aca="false">COUNTIFS(Pareado!$F$2:$F$65,"formatName (bug nativo)",Pareado!$D$2:$D$65,"ZS",Pareado!$AG$2:$AG$65,"Gemini")</f>
        <v>0</v>
      </c>
    </row>
    <row r="43" customFormat="false" ht="26.85" hidden="false" customHeight="false" outlineLevel="0" collapsed="false">
      <c r="A43" s="4" t="s">
        <v>136</v>
      </c>
      <c r="B43" s="4" t="s">
        <v>207</v>
      </c>
      <c r="C43" s="4" t="s">
        <v>56</v>
      </c>
      <c r="D43" s="4" t="n">
        <f aca="false">COUNTIFS(Pareado!$F$2:$F$65,"formatName (bug nativo)",Pareado!$D$2:$D$65,"FS")</f>
        <v>1</v>
      </c>
      <c r="E43" s="4" t="n">
        <f aca="false">SUMIFS(Pareado!$I$2:$I$65,Pareado!$F$2:$F$65,"formatName (bug nativo)",Pareado!$D$2:$D$65,"FS")</f>
        <v>4</v>
      </c>
      <c r="F43" s="4" t="n">
        <f aca="false">SUMIFS(Pareado!$J$2:$J$65,Pareado!$F$2:$F$65,"formatName (bug nativo)",Pareado!$D$2:$D$65,"FS")</f>
        <v>4</v>
      </c>
      <c r="G43" s="5" t="n">
        <f aca="false">IFERROR(F43/(F43+SUMIFS(Pareado!$K$2:$K$65,Pareado!$F$2:$F$65,"formatName (bug nativo)",Pareado!$D$2:$D$65,"FS",Pareado!$O$2:$O$65,"executa")),0)</f>
        <v>1</v>
      </c>
      <c r="H43" s="4" t="n">
        <f aca="false">COUNTIFS(Pareado!$F$2:$F$65,"formatName (bug nativo)",Pareado!$D$2:$D$65,"FS",Pareado!$L$2:$L$65,1)</f>
        <v>1</v>
      </c>
      <c r="I43" s="4" t="n">
        <f aca="false">SUMIFS(Pareado!$M$2:$M$65,Pareado!$F$2:$F$65,"formatName (bug nativo)",Pareado!$D$2:$D$65,"FS")</f>
        <v>0</v>
      </c>
      <c r="J43" s="4" t="n">
        <f aca="false">COUNTIFS(Pareado!$F$2:$F$65,"formatName (bug nativo)",Pareado!$D$2:$D$65,"FS",Pareado!$M$2:$M$65,3)</f>
        <v>0</v>
      </c>
      <c r="K43" s="4" t="n">
        <f aca="false">COUNTIFS(Pareado!$F$2:$F$65,"formatName (bug nativo)",Pareado!$D$2:$D$65,"FS",Pareado!$O$2:$O$65,"&lt;&gt;executa")</f>
        <v>0</v>
      </c>
      <c r="L43" s="4" t="n">
        <f aca="false">COUNTIFS(Pareado!$F$2:$F$65,"formatName (bug nativo)",Pareado!$D$2:$D$65,"FS",Pareado!$P$2:$P$65,"Sim")</f>
        <v>0</v>
      </c>
      <c r="M43" s="4" t="n">
        <f aca="false">SUMIFS(Pareado!$S$2:$S$65,Pareado!$F$2:$F$65,"formatName (bug nativo)",Pareado!$D$2:$D$65,"FS")</f>
        <v>5</v>
      </c>
      <c r="N43" s="4" t="n">
        <f aca="false">SUMIFS(Pareado!$T$2:$T$65,Pareado!$F$2:$F$65,"formatName (bug nativo)",Pareado!$D$2:$D$65,"FS")</f>
        <v>5</v>
      </c>
      <c r="O43" s="5" t="n">
        <f aca="false">IFERROR(N43/(N43+SUMIFS(Pareado!$U$2:$U$65,Pareado!$F$2:$F$65,"formatName (bug nativo)",Pareado!$D$2:$D$65,"FS",Pareado!$Y$2:$Y$65,"executa")),0)</f>
        <v>1</v>
      </c>
      <c r="P43" s="4" t="n">
        <f aca="false">COUNTIFS(Pareado!$F$2:$F$65,"formatName (bug nativo)",Pareado!$D$2:$D$65,"FS",Pareado!$V$2:$V$65,1)</f>
        <v>1</v>
      </c>
      <c r="Q43" s="4" t="n">
        <f aca="false">SUMIFS(Pareado!$W$2:$W$65,Pareado!$F$2:$F$65,"formatName (bug nativo)",Pareado!$D$2:$D$65,"FS")</f>
        <v>0</v>
      </c>
      <c r="R43" s="4" t="n">
        <f aca="false">COUNTIFS(Pareado!$F$2:$F$65,"formatName (bug nativo)",Pareado!$D$2:$D$65,"FS",Pareado!$W$2:$W$65,3)</f>
        <v>0</v>
      </c>
      <c r="S43" s="4" t="n">
        <f aca="false">COUNTIFS(Pareado!$F$2:$F$65,"formatName (bug nativo)",Pareado!$D$2:$D$65,"FS",Pareado!$Y$2:$Y$65,"&lt;&gt;executa")</f>
        <v>0</v>
      </c>
      <c r="T43" s="4" t="n">
        <f aca="false">SUMIFS(Pareado!$AA$2:$AA$65,Pareado!$F$2:$F$65,"formatName (bug nativo)",Pareado!$D$2:$D$65,"FS")</f>
        <v>0</v>
      </c>
      <c r="U43" s="4" t="n">
        <f aca="false">COUNTIFS(Pareado!$F$2:$F$65,"formatName (bug nativo)",Pareado!$D$2:$D$65,"FS",Pareado!$AF$2:$AF$65,"ChatGPT")</f>
        <v>0</v>
      </c>
      <c r="V43" s="4" t="n">
        <f aca="false">COUNTIFS(Pareado!$F$2:$F$65,"formatName (bug nativo)",Pareado!$D$2:$D$65,"FS",Pareado!$AF$2:$AF$65,"empate")</f>
        <v>0</v>
      </c>
      <c r="W43" s="4" t="n">
        <f aca="false">COUNTIFS(Pareado!$F$2:$F$65,"formatName (bug nativo)",Pareado!$D$2:$D$65,"FS",Pareado!$AF$2:$AF$65,"Gemini")</f>
        <v>1</v>
      </c>
      <c r="X43" s="4" t="n">
        <f aca="false">COUNTIFS(Pareado!$F$2:$F$65,"formatName (bug nativo)",Pareado!$D$2:$D$65,"FS",Pareado!$AG$2:$AG$65,"ChatGPT")</f>
        <v>0</v>
      </c>
      <c r="Y43" s="4" t="n">
        <f aca="false">COUNTIFS(Pareado!$F$2:$F$65,"formatName (bug nativo)",Pareado!$D$2:$D$65,"FS",Pareado!$AG$2:$AG$65,"empate")</f>
        <v>1</v>
      </c>
      <c r="Z43" s="4" t="n">
        <f aca="false">COUNTIFS(Pareado!$F$2:$F$65,"formatName (bug nativo)",Pareado!$D$2:$D$65,"FS",Pareado!$AG$2:$AG$65,"Gemini")</f>
        <v>0</v>
      </c>
    </row>
    <row r="44" customFormat="false" ht="26.85" hidden="false" customHeight="false" outlineLevel="0" collapsed="false">
      <c r="A44" s="4" t="s">
        <v>136</v>
      </c>
      <c r="B44" s="4" t="s">
        <v>207</v>
      </c>
      <c r="C44" s="4" t="s">
        <v>61</v>
      </c>
      <c r="D44" s="4" t="n">
        <f aca="false">COUNTIFS(Pareado!$F$2:$F$65,"formatName (bug nativo)",Pareado!$D$2:$D$65,"COT")</f>
        <v>1</v>
      </c>
      <c r="E44" s="4" t="n">
        <f aca="false">SUMIFS(Pareado!$I$2:$I$65,Pareado!$F$2:$F$65,"formatName (bug nativo)",Pareado!$D$2:$D$65,"COT")</f>
        <v>15</v>
      </c>
      <c r="F44" s="4" t="n">
        <f aca="false">SUMIFS(Pareado!$J$2:$J$65,Pareado!$F$2:$F$65,"formatName (bug nativo)",Pareado!$D$2:$D$65,"COT")</f>
        <v>15</v>
      </c>
      <c r="G44" s="5" t="n">
        <f aca="false">IFERROR(F44/(F44+SUMIFS(Pareado!$K$2:$K$65,Pareado!$F$2:$F$65,"formatName (bug nativo)",Pareado!$D$2:$D$65,"COT",Pareado!$O$2:$O$65,"executa")),0)</f>
        <v>1</v>
      </c>
      <c r="H44" s="4" t="n">
        <f aca="false">COUNTIFS(Pareado!$F$2:$F$65,"formatName (bug nativo)",Pareado!$D$2:$D$65,"COT",Pareado!$L$2:$L$65,1)</f>
        <v>1</v>
      </c>
      <c r="I44" s="4" t="n">
        <f aca="false">SUMIFS(Pareado!$M$2:$M$65,Pareado!$F$2:$F$65,"formatName (bug nativo)",Pareado!$D$2:$D$65,"COT")</f>
        <v>0</v>
      </c>
      <c r="J44" s="4" t="n">
        <f aca="false">COUNTIFS(Pareado!$F$2:$F$65,"formatName (bug nativo)",Pareado!$D$2:$D$65,"COT",Pareado!$M$2:$M$65,3)</f>
        <v>0</v>
      </c>
      <c r="K44" s="4" t="n">
        <f aca="false">COUNTIFS(Pareado!$F$2:$F$65,"formatName (bug nativo)",Pareado!$D$2:$D$65,"COT",Pareado!$O$2:$O$65,"&lt;&gt;executa")</f>
        <v>0</v>
      </c>
      <c r="L44" s="4" t="n">
        <f aca="false">COUNTIFS(Pareado!$F$2:$F$65,"formatName (bug nativo)",Pareado!$D$2:$D$65,"COT",Pareado!$P$2:$P$65,"Sim")</f>
        <v>0</v>
      </c>
      <c r="M44" s="4" t="n">
        <f aca="false">SUMIFS(Pareado!$S$2:$S$65,Pareado!$F$2:$F$65,"formatName (bug nativo)",Pareado!$D$2:$D$65,"COT")</f>
        <v>9</v>
      </c>
      <c r="N44" s="4" t="n">
        <f aca="false">SUMIFS(Pareado!$T$2:$T$65,Pareado!$F$2:$F$65,"formatName (bug nativo)",Pareado!$D$2:$D$65,"COT")</f>
        <v>9</v>
      </c>
      <c r="O44" s="5" t="n">
        <f aca="false">IFERROR(N44/(N44+SUMIFS(Pareado!$U$2:$U$65,Pareado!$F$2:$F$65,"formatName (bug nativo)",Pareado!$D$2:$D$65,"COT",Pareado!$Y$2:$Y$65,"executa")),0)</f>
        <v>1</v>
      </c>
      <c r="P44" s="4" t="n">
        <f aca="false">COUNTIFS(Pareado!$F$2:$F$65,"formatName (bug nativo)",Pareado!$D$2:$D$65,"COT",Pareado!$V$2:$V$65,1)</f>
        <v>1</v>
      </c>
      <c r="Q44" s="4" t="n">
        <f aca="false">SUMIFS(Pareado!$W$2:$W$65,Pareado!$F$2:$F$65,"formatName (bug nativo)",Pareado!$D$2:$D$65,"COT")</f>
        <v>0</v>
      </c>
      <c r="R44" s="4" t="n">
        <f aca="false">COUNTIFS(Pareado!$F$2:$F$65,"formatName (bug nativo)",Pareado!$D$2:$D$65,"COT",Pareado!$W$2:$W$65,3)</f>
        <v>0</v>
      </c>
      <c r="S44" s="4" t="n">
        <f aca="false">COUNTIFS(Pareado!$F$2:$F$65,"formatName (bug nativo)",Pareado!$D$2:$D$65,"COT",Pareado!$Y$2:$Y$65,"&lt;&gt;executa")</f>
        <v>0</v>
      </c>
      <c r="T44" s="4" t="n">
        <f aca="false">SUMIFS(Pareado!$AA$2:$AA$65,Pareado!$F$2:$F$65,"formatName (bug nativo)",Pareado!$D$2:$D$65,"COT")</f>
        <v>0</v>
      </c>
      <c r="U44" s="4" t="n">
        <f aca="false">COUNTIFS(Pareado!$F$2:$F$65,"formatName (bug nativo)",Pareado!$D$2:$D$65,"COT",Pareado!$AF$2:$AF$65,"ChatGPT")</f>
        <v>1</v>
      </c>
      <c r="V44" s="4" t="n">
        <f aca="false">COUNTIFS(Pareado!$F$2:$F$65,"formatName (bug nativo)",Pareado!$D$2:$D$65,"COT",Pareado!$AF$2:$AF$65,"empate")</f>
        <v>0</v>
      </c>
      <c r="W44" s="4" t="n">
        <f aca="false">COUNTIFS(Pareado!$F$2:$F$65,"formatName (bug nativo)",Pareado!$D$2:$D$65,"COT",Pareado!$AF$2:$AF$65,"Gemini")</f>
        <v>0</v>
      </c>
      <c r="X44" s="4" t="n">
        <f aca="false">COUNTIFS(Pareado!$F$2:$F$65,"formatName (bug nativo)",Pareado!$D$2:$D$65,"COT",Pareado!$AG$2:$AG$65,"ChatGPT")</f>
        <v>0</v>
      </c>
      <c r="Y44" s="4" t="n">
        <f aca="false">COUNTIFS(Pareado!$F$2:$F$65,"formatName (bug nativo)",Pareado!$D$2:$D$65,"COT",Pareado!$AG$2:$AG$65,"empate")</f>
        <v>1</v>
      </c>
      <c r="Z44" s="4" t="n">
        <f aca="false">COUNTIFS(Pareado!$F$2:$F$65,"formatName (bug nativo)",Pareado!$D$2:$D$65,"COT",Pareado!$AG$2:$AG$65,"Gemini")</f>
        <v>0</v>
      </c>
    </row>
    <row r="45" customFormat="false" ht="26.85" hidden="false" customHeight="false" outlineLevel="0" collapsed="false">
      <c r="A45" s="7" t="s">
        <v>136</v>
      </c>
      <c r="B45" s="7" t="s">
        <v>207</v>
      </c>
      <c r="C45" s="7" t="s">
        <v>206</v>
      </c>
      <c r="D45" s="7" t="n">
        <f aca="false">COUNTIFS(Pareado!$F$2:$F$65,"formatName (bug nativo)")</f>
        <v>3</v>
      </c>
      <c r="E45" s="7" t="n">
        <f aca="false">SUMIFS(Pareado!$I$2:$I$65,Pareado!$F$2:$F$65,"formatName (bug nativo)")</f>
        <v>32</v>
      </c>
      <c r="F45" s="7" t="n">
        <f aca="false">SUMIFS(Pareado!$J$2:$J$65,Pareado!$F$2:$F$65,"formatName (bug nativo)")</f>
        <v>32</v>
      </c>
      <c r="G45" s="8" t="n">
        <f aca="false">IFERROR(F45/(F45+SUMIFS(Pareado!$K$2:$K$65,Pareado!$F$2:$F$65,"formatName (bug nativo)",Pareado!$O$2:$O$65,"executa")),0)</f>
        <v>1</v>
      </c>
      <c r="H45" s="7" t="n">
        <f aca="false">COUNTIFS(Pareado!$F$2:$F$65,"formatName (bug nativo)",Pareado!$L$2:$L$65,1)</f>
        <v>3</v>
      </c>
      <c r="I45" s="7" t="n">
        <f aca="false">SUMIFS(Pareado!$M$2:$M$65,Pareado!$F$2:$F$65,"formatName (bug nativo)")</f>
        <v>0</v>
      </c>
      <c r="J45" s="7" t="n">
        <f aca="false">COUNTIFS(Pareado!$F$2:$F$65,"formatName (bug nativo)",Pareado!$M$2:$M$65,3)</f>
        <v>0</v>
      </c>
      <c r="K45" s="7" t="n">
        <f aca="false">COUNTIFS(Pareado!$F$2:$F$65,"formatName (bug nativo)",Pareado!$O$2:$O$65,"&lt;&gt;executa")</f>
        <v>0</v>
      </c>
      <c r="L45" s="7" t="n">
        <f aca="false">COUNTIFS(Pareado!$F$2:$F$65,"formatName (bug nativo)",Pareado!$P$2:$P$65,"Sim")</f>
        <v>0</v>
      </c>
      <c r="M45" s="7" t="n">
        <f aca="false">SUMIFS(Pareado!$S$2:$S$65,Pareado!$F$2:$F$65,"formatName (bug nativo)")</f>
        <v>24</v>
      </c>
      <c r="N45" s="7" t="n">
        <f aca="false">SUMIFS(Pareado!$T$2:$T$65,Pareado!$F$2:$F$65,"formatName (bug nativo)")</f>
        <v>24</v>
      </c>
      <c r="O45" s="8" t="n">
        <f aca="false">IFERROR(N45/(N45+SUMIFS(Pareado!$U$2:$U$65,Pareado!$F$2:$F$65,"formatName (bug nativo)",Pareado!$Y$2:$Y$65,"executa")),0)</f>
        <v>1</v>
      </c>
      <c r="P45" s="7" t="n">
        <f aca="false">COUNTIFS(Pareado!$F$2:$F$65,"formatName (bug nativo)",Pareado!$V$2:$V$65,1)</f>
        <v>3</v>
      </c>
      <c r="Q45" s="7" t="n">
        <f aca="false">SUMIFS(Pareado!$W$2:$W$65,Pareado!$F$2:$F$65,"formatName (bug nativo)")</f>
        <v>0</v>
      </c>
      <c r="R45" s="7" t="n">
        <f aca="false">COUNTIFS(Pareado!$F$2:$F$65,"formatName (bug nativo)",Pareado!$W$2:$W$65,3)</f>
        <v>0</v>
      </c>
      <c r="S45" s="7" t="n">
        <f aca="false">COUNTIFS(Pareado!$F$2:$F$65,"formatName (bug nativo)",Pareado!$Y$2:$Y$65,"&lt;&gt;executa")</f>
        <v>0</v>
      </c>
      <c r="T45" s="7" t="n">
        <f aca="false">SUMIFS(Pareado!$AA$2:$AA$65,Pareado!$F$2:$F$65,"formatName (bug nativo)")</f>
        <v>2</v>
      </c>
      <c r="U45" s="7" t="n">
        <f aca="false">COUNTIFS(Pareado!$F$2:$F$65,"formatName (bug nativo)",Pareado!$AF$2:$AF$65,"ChatGPT")</f>
        <v>2</v>
      </c>
      <c r="V45" s="7" t="n">
        <f aca="false">COUNTIFS(Pareado!$F$2:$F$65,"formatName (bug nativo)",Pareado!$AF$2:$AF$65,"empate")</f>
        <v>0</v>
      </c>
      <c r="W45" s="7" t="n">
        <f aca="false">COUNTIFS(Pareado!$F$2:$F$65,"formatName (bug nativo)",Pareado!$AF$2:$AF$65,"Gemini")</f>
        <v>1</v>
      </c>
      <c r="X45" s="7" t="n">
        <f aca="false">COUNTIFS(Pareado!$F$2:$F$65,"formatName (bug nativo)",Pareado!$AG$2:$AG$65,"ChatGPT")</f>
        <v>0</v>
      </c>
      <c r="Y45" s="7" t="n">
        <f aca="false">COUNTIFS(Pareado!$F$2:$F$65,"formatName (bug nativo)",Pareado!$AG$2:$AG$65,"empate")</f>
        <v>3</v>
      </c>
      <c r="Z45" s="7" t="n">
        <f aca="false">COUNTIFS(Pareado!$F$2:$F$65,"formatName (bug nativo)",Pareado!$AG$2:$AG$65,"Gemini")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8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32"/>
    <col collapsed="false" customWidth="true" hidden="false" outlineLevel="0" max="10" min="8" style="0" width="8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32"/>
    <col collapsed="false" customWidth="true" hidden="false" outlineLevel="0" max="14" min="14" style="0" width="60"/>
  </cols>
  <sheetData>
    <row r="1" customFormat="false" ht="77.6" hidden="false" customHeight="false" outlineLevel="0" collapsed="false">
      <c r="A1" s="6" t="s">
        <v>208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39.55" hidden="false" customHeight="false" outlineLevel="0" collapsed="false">
      <c r="A3" s="3" t="s">
        <v>11</v>
      </c>
      <c r="B3" s="3" t="s">
        <v>209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214</v>
      </c>
      <c r="H3" s="3" t="s">
        <v>215</v>
      </c>
      <c r="I3" s="3" t="s">
        <v>216</v>
      </c>
      <c r="J3" s="3" t="s">
        <v>217</v>
      </c>
      <c r="K3" s="3" t="s">
        <v>218</v>
      </c>
      <c r="L3" s="3" t="s">
        <v>219</v>
      </c>
      <c r="M3" s="3" t="s">
        <v>220</v>
      </c>
      <c r="N3" s="3" t="s">
        <v>221</v>
      </c>
    </row>
    <row r="4" customFormat="false" ht="26.85" hidden="false" customHeight="false" outlineLevel="0" collapsed="false">
      <c r="A4" s="4" t="s">
        <v>73</v>
      </c>
      <c r="B4" s="4" t="n">
        <v>15</v>
      </c>
      <c r="C4" s="4" t="n">
        <v>15</v>
      </c>
      <c r="D4" s="4" t="n">
        <v>0</v>
      </c>
      <c r="E4" s="4" t="s">
        <v>51</v>
      </c>
      <c r="F4" s="4" t="n">
        <v>3</v>
      </c>
      <c r="G4" s="4" t="s">
        <v>72</v>
      </c>
      <c r="H4" s="4" t="n">
        <v>10</v>
      </c>
      <c r="I4" s="4" t="n">
        <v>0</v>
      </c>
      <c r="J4" s="4" t="n">
        <v>10</v>
      </c>
      <c r="K4" s="4" t="s">
        <v>75</v>
      </c>
      <c r="L4" s="4" t="n">
        <v>3</v>
      </c>
      <c r="M4" s="4" t="s">
        <v>72</v>
      </c>
      <c r="N4" s="4" t="s">
        <v>222</v>
      </c>
    </row>
    <row r="5" customFormat="false" ht="26.85" hidden="false" customHeight="false" outlineLevel="0" collapsed="false">
      <c r="A5" s="4" t="s">
        <v>77</v>
      </c>
      <c r="B5" s="4" t="n">
        <v>18</v>
      </c>
      <c r="C5" s="4" t="n">
        <v>17</v>
      </c>
      <c r="D5" s="4" t="n">
        <v>1</v>
      </c>
      <c r="E5" s="4" t="s">
        <v>51</v>
      </c>
      <c r="F5" s="4" t="n">
        <v>3</v>
      </c>
      <c r="G5" s="4" t="s">
        <v>72</v>
      </c>
      <c r="H5" s="4" t="n">
        <v>21</v>
      </c>
      <c r="I5" s="4" t="n">
        <v>20</v>
      </c>
      <c r="J5" s="4" t="n">
        <v>1</v>
      </c>
      <c r="K5" s="4" t="s">
        <v>51</v>
      </c>
      <c r="L5" s="4" t="n">
        <v>3</v>
      </c>
      <c r="M5" s="4" t="s">
        <v>72</v>
      </c>
      <c r="N5" s="4" t="s">
        <v>223</v>
      </c>
    </row>
    <row r="6" customFormat="false" ht="26.85" hidden="false" customHeight="false" outlineLevel="0" collapsed="false">
      <c r="A6" s="4" t="s">
        <v>78</v>
      </c>
      <c r="B6" s="4" t="n">
        <v>14</v>
      </c>
      <c r="C6" s="4" t="n">
        <v>11</v>
      </c>
      <c r="D6" s="4" t="n">
        <v>3</v>
      </c>
      <c r="E6" s="4" t="s">
        <v>51</v>
      </c>
      <c r="F6" s="4" t="n">
        <v>3</v>
      </c>
      <c r="G6" s="4" t="s">
        <v>224</v>
      </c>
      <c r="H6" s="4" t="n">
        <v>14</v>
      </c>
      <c r="I6" s="4" t="n">
        <v>7</v>
      </c>
      <c r="J6" s="4" t="n">
        <v>1</v>
      </c>
      <c r="K6" s="4" t="s">
        <v>51</v>
      </c>
      <c r="L6" s="4" t="n">
        <v>3</v>
      </c>
      <c r="M6" s="4" t="s">
        <v>82</v>
      </c>
      <c r="N6" s="4" t="s">
        <v>225</v>
      </c>
    </row>
    <row r="7" customFormat="false" ht="26.85" hidden="false" customHeight="false" outlineLevel="0" collapsed="false">
      <c r="A7" s="4" t="s">
        <v>85</v>
      </c>
      <c r="B7" s="4" t="n">
        <v>10</v>
      </c>
      <c r="C7" s="4" t="n">
        <v>9</v>
      </c>
      <c r="D7" s="4" t="n">
        <v>1</v>
      </c>
      <c r="E7" s="4" t="s">
        <v>51</v>
      </c>
      <c r="F7" s="4" t="n">
        <v>3</v>
      </c>
      <c r="G7" s="4" t="s">
        <v>224</v>
      </c>
      <c r="H7" s="4" t="n">
        <v>10</v>
      </c>
      <c r="I7" s="4" t="n">
        <v>0</v>
      </c>
      <c r="J7" s="4" t="n">
        <v>9</v>
      </c>
      <c r="K7" s="4" t="s">
        <v>75</v>
      </c>
      <c r="L7" s="4" t="n">
        <v>3</v>
      </c>
      <c r="M7" s="4" t="s">
        <v>86</v>
      </c>
      <c r="N7" s="4" t="s">
        <v>226</v>
      </c>
    </row>
    <row r="8" customFormat="false" ht="26.85" hidden="false" customHeight="false" outlineLevel="0" collapsed="false">
      <c r="A8" s="4" t="s">
        <v>89</v>
      </c>
      <c r="B8" s="4" t="n">
        <v>19</v>
      </c>
      <c r="C8" s="4" t="n">
        <v>16</v>
      </c>
      <c r="D8" s="4" t="n">
        <v>3</v>
      </c>
      <c r="E8" s="4" t="s">
        <v>51</v>
      </c>
      <c r="F8" s="4" t="n">
        <v>3</v>
      </c>
      <c r="G8" s="4" t="s">
        <v>227</v>
      </c>
      <c r="H8" s="4" t="n">
        <v>21</v>
      </c>
      <c r="I8" s="4" t="n">
        <v>0</v>
      </c>
      <c r="J8" s="4" t="n">
        <v>20</v>
      </c>
      <c r="K8" s="4" t="s">
        <v>75</v>
      </c>
      <c r="L8" s="4" t="n">
        <v>3</v>
      </c>
      <c r="M8" s="4" t="s">
        <v>82</v>
      </c>
      <c r="N8" s="4" t="s">
        <v>228</v>
      </c>
    </row>
    <row r="9" customFormat="false" ht="26.85" hidden="false" customHeight="false" outlineLevel="0" collapsed="false">
      <c r="A9" s="4" t="s">
        <v>90</v>
      </c>
      <c r="B9" s="4" t="n">
        <v>6</v>
      </c>
      <c r="C9" s="4" t="n">
        <v>1</v>
      </c>
      <c r="D9" s="4" t="n">
        <v>5</v>
      </c>
      <c r="E9" s="4" t="s">
        <v>51</v>
      </c>
      <c r="F9" s="4" t="n">
        <v>3</v>
      </c>
      <c r="G9" s="4" t="s">
        <v>229</v>
      </c>
      <c r="H9" s="4" t="n">
        <v>6</v>
      </c>
      <c r="I9" s="4" t="n">
        <v>1</v>
      </c>
      <c r="J9" s="4" t="n">
        <v>5</v>
      </c>
      <c r="K9" s="4" t="s">
        <v>51</v>
      </c>
      <c r="L9" s="4" t="n">
        <v>3</v>
      </c>
      <c r="M9" s="4" t="s">
        <v>95</v>
      </c>
      <c r="N9" s="4" t="s">
        <v>230</v>
      </c>
    </row>
    <row r="10" customFormat="false" ht="26.85" hidden="false" customHeight="false" outlineLevel="0" collapsed="false">
      <c r="A10" s="4" t="s">
        <v>98</v>
      </c>
      <c r="B10" s="4" t="n">
        <v>2</v>
      </c>
      <c r="C10" s="4" t="n">
        <v>0</v>
      </c>
      <c r="D10" s="4" t="n">
        <v>2</v>
      </c>
      <c r="E10" s="4" t="s">
        <v>51</v>
      </c>
      <c r="F10" s="4" t="n">
        <v>3</v>
      </c>
      <c r="G10" s="4" t="s">
        <v>72</v>
      </c>
      <c r="H10" s="4" t="n">
        <v>3</v>
      </c>
      <c r="I10" s="4" t="n">
        <v>2</v>
      </c>
      <c r="J10" s="4" t="n">
        <v>1</v>
      </c>
      <c r="K10" s="4" t="s">
        <v>51</v>
      </c>
      <c r="L10" s="4" t="n">
        <v>3</v>
      </c>
      <c r="M10" s="4" t="s">
        <v>72</v>
      </c>
      <c r="N10" s="4" t="s">
        <v>231</v>
      </c>
    </row>
    <row r="11" customFormat="false" ht="26.85" hidden="false" customHeight="false" outlineLevel="0" collapsed="false">
      <c r="A11" s="4" t="s">
        <v>99</v>
      </c>
      <c r="B11" s="4" t="n">
        <v>15</v>
      </c>
      <c r="C11" s="4" t="n">
        <v>11</v>
      </c>
      <c r="D11" s="4" t="n">
        <v>4</v>
      </c>
      <c r="E11" s="4" t="s">
        <v>51</v>
      </c>
      <c r="F11" s="4" t="n">
        <v>3</v>
      </c>
      <c r="G11" s="4" t="s">
        <v>229</v>
      </c>
      <c r="H11" s="4" t="n">
        <v>14</v>
      </c>
      <c r="I11" s="4" t="n">
        <v>2</v>
      </c>
      <c r="J11" s="4" t="n">
        <v>12</v>
      </c>
      <c r="K11" s="4" t="s">
        <v>51</v>
      </c>
      <c r="L11" s="4" t="n">
        <v>3</v>
      </c>
      <c r="M11" s="4" t="s">
        <v>100</v>
      </c>
      <c r="N11" s="4" t="s">
        <v>232</v>
      </c>
    </row>
    <row r="12" customFormat="false" ht="15" hidden="false" customHeight="false" outlineLevel="0" collapsed="false">
      <c r="A12" s="4" t="s">
        <v>102</v>
      </c>
      <c r="B12" s="4" t="n">
        <v>2</v>
      </c>
      <c r="C12" s="4" t="n">
        <v>2</v>
      </c>
      <c r="D12" s="4" t="n">
        <v>0</v>
      </c>
      <c r="E12" s="4" t="s">
        <v>51</v>
      </c>
      <c r="F12" s="4" t="n">
        <v>1</v>
      </c>
      <c r="G12" s="4" t="s">
        <v>82</v>
      </c>
      <c r="H12" s="4" t="n">
        <v>2</v>
      </c>
      <c r="I12" s="4" t="n">
        <v>2</v>
      </c>
      <c r="J12" s="4" t="n">
        <v>0</v>
      </c>
      <c r="K12" s="4" t="s">
        <v>51</v>
      </c>
      <c r="L12" s="4" t="n">
        <v>0</v>
      </c>
      <c r="M12" s="4" t="s">
        <v>82</v>
      </c>
      <c r="N12" s="4" t="s">
        <v>233</v>
      </c>
    </row>
    <row r="13" customFormat="false" ht="26.85" hidden="false" customHeight="false" outlineLevel="0" collapsed="false">
      <c r="A13" s="4" t="s">
        <v>106</v>
      </c>
      <c r="B13" s="4" t="n">
        <v>2</v>
      </c>
      <c r="C13" s="4" t="n">
        <v>2</v>
      </c>
      <c r="D13" s="4" t="n">
        <v>0</v>
      </c>
      <c r="E13" s="4" t="s">
        <v>51</v>
      </c>
      <c r="F13" s="4" t="n">
        <v>1</v>
      </c>
      <c r="G13" s="4" t="s">
        <v>82</v>
      </c>
      <c r="H13" s="4" t="n">
        <v>2</v>
      </c>
      <c r="I13" s="4" t="n">
        <v>0</v>
      </c>
      <c r="J13" s="4" t="n">
        <v>2</v>
      </c>
      <c r="K13" s="4" t="s">
        <v>75</v>
      </c>
      <c r="L13" s="4" t="n">
        <v>3</v>
      </c>
      <c r="M13" s="4" t="s">
        <v>86</v>
      </c>
      <c r="N13" s="4" t="s">
        <v>234</v>
      </c>
    </row>
    <row r="14" customFormat="false" ht="26.85" hidden="false" customHeight="false" outlineLevel="0" collapsed="false">
      <c r="A14" s="4" t="s">
        <v>107</v>
      </c>
      <c r="B14" s="4" t="n">
        <v>4</v>
      </c>
      <c r="C14" s="4" t="n">
        <v>4</v>
      </c>
      <c r="D14" s="4" t="n">
        <v>0</v>
      </c>
      <c r="E14" s="4" t="s">
        <v>51</v>
      </c>
      <c r="F14" s="4" t="n">
        <v>1</v>
      </c>
      <c r="G14" s="4" t="s">
        <v>82</v>
      </c>
      <c r="H14" s="4" t="n">
        <v>4</v>
      </c>
      <c r="I14" s="4" t="n">
        <v>4</v>
      </c>
      <c r="J14" s="4" t="n">
        <v>0</v>
      </c>
      <c r="K14" s="4" t="s">
        <v>51</v>
      </c>
      <c r="L14" s="4" t="n">
        <v>0</v>
      </c>
      <c r="M14" s="4" t="s">
        <v>108</v>
      </c>
      <c r="N14" s="4" t="s">
        <v>235</v>
      </c>
    </row>
    <row r="15" customFormat="false" ht="26.85" hidden="false" customHeight="false" outlineLevel="0" collapsed="false">
      <c r="A15" s="4" t="s">
        <v>187</v>
      </c>
      <c r="B15" s="4" t="n">
        <v>11</v>
      </c>
      <c r="C15" s="4" t="n">
        <v>10</v>
      </c>
      <c r="D15" s="4" t="n">
        <v>1</v>
      </c>
      <c r="E15" s="4" t="s">
        <v>51</v>
      </c>
      <c r="F15" s="4" t="n">
        <v>3</v>
      </c>
      <c r="G15" s="4" t="s">
        <v>224</v>
      </c>
      <c r="H15" s="4" t="n">
        <v>10</v>
      </c>
      <c r="I15" s="4" t="n">
        <v>0</v>
      </c>
      <c r="J15" s="4" t="n">
        <v>10</v>
      </c>
      <c r="K15" s="4" t="s">
        <v>75</v>
      </c>
      <c r="L15" s="4" t="n">
        <v>3</v>
      </c>
      <c r="M15" s="4" t="s">
        <v>188</v>
      </c>
      <c r="N15" s="4" t="s">
        <v>236</v>
      </c>
    </row>
    <row r="16" customFormat="false" ht="26.85" hidden="false" customHeight="false" outlineLevel="0" collapsed="false">
      <c r="A16" s="4" t="s">
        <v>183</v>
      </c>
      <c r="B16" s="4" t="n">
        <v>6</v>
      </c>
      <c r="C16" s="4" t="n">
        <v>1</v>
      </c>
      <c r="D16" s="4" t="n">
        <v>5</v>
      </c>
      <c r="E16" s="4" t="s">
        <v>51</v>
      </c>
      <c r="F16" s="4" t="n">
        <v>3</v>
      </c>
      <c r="G16" s="4" t="s">
        <v>229</v>
      </c>
      <c r="H16" s="4" t="n">
        <v>6</v>
      </c>
      <c r="I16" s="4" t="n">
        <v>1</v>
      </c>
      <c r="J16" s="4" t="n">
        <v>4</v>
      </c>
      <c r="K16" s="4" t="s">
        <v>51</v>
      </c>
      <c r="L16" s="4" t="n">
        <v>3</v>
      </c>
      <c r="M16" s="4" t="s">
        <v>184</v>
      </c>
      <c r="N16" s="4" t="s">
        <v>237</v>
      </c>
    </row>
    <row r="17" customFormat="false" ht="15" hidden="false" customHeight="false" outlineLevel="0" collapsed="false">
      <c r="A17" s="4" t="s">
        <v>181</v>
      </c>
      <c r="B17" s="4" t="n">
        <v>3</v>
      </c>
      <c r="C17" s="4" t="n">
        <v>2</v>
      </c>
      <c r="D17" s="4" t="n">
        <v>1</v>
      </c>
      <c r="E17" s="4" t="s">
        <v>51</v>
      </c>
      <c r="F17" s="4" t="n">
        <v>2</v>
      </c>
      <c r="G17" s="4" t="s">
        <v>72</v>
      </c>
      <c r="H17" s="4" t="n">
        <v>2</v>
      </c>
      <c r="I17" s="4" t="n">
        <v>1</v>
      </c>
      <c r="J17" s="4" t="n">
        <v>1</v>
      </c>
      <c r="K17" s="4" t="s">
        <v>51</v>
      </c>
      <c r="L17" s="4" t="n">
        <v>3</v>
      </c>
      <c r="M17" s="4" t="s">
        <v>72</v>
      </c>
      <c r="N17" s="4" t="s">
        <v>238</v>
      </c>
    </row>
    <row r="18" customFormat="false" ht="26.85" hidden="false" customHeight="false" outlineLevel="0" collapsed="false">
      <c r="A18" s="4" t="s">
        <v>177</v>
      </c>
      <c r="B18" s="4" t="n">
        <v>10</v>
      </c>
      <c r="C18" s="4" t="n">
        <v>6</v>
      </c>
      <c r="D18" s="4" t="n">
        <v>4</v>
      </c>
      <c r="E18" s="4" t="s">
        <v>51</v>
      </c>
      <c r="F18" s="4" t="n">
        <v>3</v>
      </c>
      <c r="G18" s="4" t="s">
        <v>229</v>
      </c>
      <c r="H18" s="4" t="n">
        <v>13</v>
      </c>
      <c r="I18" s="4" t="n">
        <v>0</v>
      </c>
      <c r="J18" s="4" t="n">
        <v>13</v>
      </c>
      <c r="K18" s="4" t="s">
        <v>51</v>
      </c>
      <c r="L18" s="4" t="n">
        <v>3</v>
      </c>
      <c r="M18" s="4" t="s">
        <v>179</v>
      </c>
      <c r="N18" s="4" t="s">
        <v>239</v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4" t="s">
        <v>240</v>
      </c>
      <c r="B20" s="4" t="n">
        <f aca="false">SUM(B4:B18)</f>
        <v>137</v>
      </c>
      <c r="C20" s="4" t="n">
        <f aca="false">SUM(C4:C18)</f>
        <v>107</v>
      </c>
      <c r="D20" s="4"/>
      <c r="E20" s="4"/>
      <c r="F20" s="4" t="n">
        <f aca="false">SUM(F4:F18)</f>
        <v>38</v>
      </c>
      <c r="G20" s="4"/>
      <c r="H20" s="4" t="n">
        <f aca="false">SUM(H4:H18)</f>
        <v>138</v>
      </c>
      <c r="I20" s="4" t="n">
        <f aca="false">SUM(I4:I18)</f>
        <v>40</v>
      </c>
      <c r="J20" s="4"/>
      <c r="K20" s="4"/>
      <c r="L20" s="4" t="n">
        <f aca="false">SUM(L4:L18)</f>
        <v>39</v>
      </c>
      <c r="M20" s="4"/>
      <c r="N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8" min="3" style="0" width="22"/>
    <col collapsed="false" customWidth="true" hidden="false" outlineLevel="0" max="10" min="9" style="0" width="30"/>
    <col collapsed="false" customWidth="true" hidden="false" outlineLevel="0" max="11" min="11" style="0" width="50"/>
  </cols>
  <sheetData>
    <row r="1" customFormat="false" ht="179.1" hidden="false" customHeight="false" outlineLevel="0" collapsed="false">
      <c r="A1" s="6" t="s">
        <v>241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3" t="s">
        <v>16</v>
      </c>
      <c r="B3" s="3" t="s">
        <v>12</v>
      </c>
      <c r="C3" s="3" t="s">
        <v>242</v>
      </c>
      <c r="D3" s="3" t="s">
        <v>243</v>
      </c>
      <c r="E3" s="3" t="s">
        <v>244</v>
      </c>
      <c r="F3" s="3" t="s">
        <v>245</v>
      </c>
      <c r="G3" s="3" t="s">
        <v>246</v>
      </c>
      <c r="H3" s="3" t="s">
        <v>247</v>
      </c>
      <c r="I3" s="3" t="s">
        <v>248</v>
      </c>
      <c r="J3" s="3" t="s">
        <v>249</v>
      </c>
      <c r="K3" s="3" t="s">
        <v>250</v>
      </c>
    </row>
    <row r="4" customFormat="false" ht="39.55" hidden="false" customHeight="false" outlineLevel="0" collapsed="false">
      <c r="A4" s="4" t="s">
        <v>48</v>
      </c>
      <c r="B4" s="4" t="s">
        <v>44</v>
      </c>
      <c r="C4" s="4" t="s">
        <v>251</v>
      </c>
      <c r="D4" s="4" t="s">
        <v>252</v>
      </c>
      <c r="E4" s="4" t="s">
        <v>253</v>
      </c>
      <c r="F4" s="4" t="s">
        <v>254</v>
      </c>
      <c r="G4" s="4" t="s">
        <v>251</v>
      </c>
      <c r="H4" s="4" t="s">
        <v>255</v>
      </c>
      <c r="I4" s="4" t="s">
        <v>256</v>
      </c>
      <c r="J4" s="4" t="s">
        <v>257</v>
      </c>
      <c r="K4" s="4" t="s">
        <v>258</v>
      </c>
    </row>
    <row r="5" customFormat="false" ht="26.85" hidden="false" customHeight="false" outlineLevel="0" collapsed="false">
      <c r="A5" s="4" t="s">
        <v>64</v>
      </c>
      <c r="B5" s="4" t="s">
        <v>44</v>
      </c>
      <c r="C5" s="4" t="s">
        <v>259</v>
      </c>
      <c r="D5" s="4" t="s">
        <v>260</v>
      </c>
      <c r="E5" s="4" t="s">
        <v>261</v>
      </c>
      <c r="F5" s="4" t="s">
        <v>262</v>
      </c>
      <c r="G5" s="4" t="s">
        <v>263</v>
      </c>
      <c r="H5" s="4" t="s">
        <v>264</v>
      </c>
      <c r="I5" s="4" t="s">
        <v>256</v>
      </c>
      <c r="J5" s="4" t="s">
        <v>256</v>
      </c>
      <c r="K5" s="4" t="s">
        <v>265</v>
      </c>
    </row>
    <row r="6" customFormat="false" ht="39.55" hidden="false" customHeight="false" outlineLevel="0" collapsed="false">
      <c r="A6" s="4" t="s">
        <v>70</v>
      </c>
      <c r="B6" s="4" t="s">
        <v>68</v>
      </c>
      <c r="C6" s="4" t="s">
        <v>266</v>
      </c>
      <c r="D6" s="4" t="s">
        <v>267</v>
      </c>
      <c r="E6" s="4" t="s">
        <v>268</v>
      </c>
      <c r="F6" s="4" t="s">
        <v>269</v>
      </c>
      <c r="G6" s="4" t="s">
        <v>270</v>
      </c>
      <c r="H6" s="4" t="s">
        <v>271</v>
      </c>
      <c r="I6" s="4" t="s">
        <v>272</v>
      </c>
      <c r="J6" s="4" t="s">
        <v>272</v>
      </c>
      <c r="K6" s="4" t="s">
        <v>273</v>
      </c>
    </row>
    <row r="7" customFormat="false" ht="64.9" hidden="false" customHeight="false" outlineLevel="0" collapsed="false">
      <c r="A7" s="4" t="s">
        <v>80</v>
      </c>
      <c r="B7" s="4" t="s">
        <v>68</v>
      </c>
      <c r="C7" s="4" t="s">
        <v>274</v>
      </c>
      <c r="D7" s="4" t="s">
        <v>275</v>
      </c>
      <c r="E7" s="4" t="s">
        <v>276</v>
      </c>
      <c r="F7" s="4" t="s">
        <v>277</v>
      </c>
      <c r="G7" s="4" t="s">
        <v>278</v>
      </c>
      <c r="H7" s="4" t="s">
        <v>279</v>
      </c>
      <c r="I7" s="4" t="s">
        <v>280</v>
      </c>
      <c r="J7" s="4" t="s">
        <v>281</v>
      </c>
      <c r="K7" s="4" t="s">
        <v>282</v>
      </c>
    </row>
    <row r="8" customFormat="false" ht="52.2" hidden="false" customHeight="false" outlineLevel="0" collapsed="false">
      <c r="A8" s="4" t="s">
        <v>93</v>
      </c>
      <c r="B8" s="4" t="s">
        <v>91</v>
      </c>
      <c r="C8" s="4" t="s">
        <v>283</v>
      </c>
      <c r="D8" s="4" t="s">
        <v>284</v>
      </c>
      <c r="E8" s="4" t="s">
        <v>285</v>
      </c>
      <c r="F8" s="4" t="s">
        <v>286</v>
      </c>
      <c r="G8" s="4" t="s">
        <v>287</v>
      </c>
      <c r="H8" s="4" t="s">
        <v>288</v>
      </c>
      <c r="I8" s="4" t="s">
        <v>289</v>
      </c>
      <c r="J8" s="4" t="s">
        <v>290</v>
      </c>
      <c r="K8" s="4" t="s">
        <v>291</v>
      </c>
    </row>
    <row r="9" customFormat="false" ht="52.2" hidden="false" customHeight="false" outlineLevel="0" collapsed="false">
      <c r="A9" s="4" t="s">
        <v>103</v>
      </c>
      <c r="B9" s="4" t="s">
        <v>91</v>
      </c>
      <c r="C9" s="4" t="s">
        <v>292</v>
      </c>
      <c r="D9" s="4" t="s">
        <v>293</v>
      </c>
      <c r="E9" s="4" t="s">
        <v>276</v>
      </c>
      <c r="F9" s="4" t="s">
        <v>294</v>
      </c>
      <c r="G9" s="4" t="s">
        <v>295</v>
      </c>
      <c r="H9" s="4" t="s">
        <v>296</v>
      </c>
      <c r="I9" s="4" t="s">
        <v>280</v>
      </c>
      <c r="J9" s="4" t="s">
        <v>297</v>
      </c>
      <c r="K9" s="4" t="s">
        <v>298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141" hidden="false" customHeight="false" outlineLevel="0" collapsed="false">
      <c r="A11" s="4" t="s">
        <v>299</v>
      </c>
      <c r="B11" s="4"/>
      <c r="C11" s="4"/>
      <c r="D11" s="4"/>
      <c r="E11" s="4"/>
      <c r="F11" s="4"/>
      <c r="G11" s="4"/>
      <c r="H11" s="4"/>
      <c r="I11" s="4" t="s">
        <v>300</v>
      </c>
      <c r="J11" s="4" t="s">
        <v>301</v>
      </c>
      <c r="K11" s="4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5" min="3" style="0" width="45"/>
  </cols>
  <sheetData>
    <row r="1" customFormat="false" ht="77.6" hidden="false" customHeight="false" outlineLevel="0" collapsed="false">
      <c r="A1" s="6" t="s">
        <v>303</v>
      </c>
      <c r="B1" s="4"/>
      <c r="C1" s="4"/>
      <c r="D1" s="4"/>
      <c r="E1" s="4"/>
    </row>
    <row r="2" customFormat="false" ht="1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3" t="s">
        <v>304</v>
      </c>
      <c r="B3" s="3" t="s">
        <v>305</v>
      </c>
      <c r="C3" s="3" t="s">
        <v>306</v>
      </c>
      <c r="D3" s="3" t="s">
        <v>307</v>
      </c>
      <c r="E3" s="3" t="s">
        <v>308</v>
      </c>
    </row>
    <row r="4" customFormat="false" ht="64.9" hidden="false" customHeight="false" outlineLevel="0" collapsed="false">
      <c r="A4" s="4" t="s">
        <v>309</v>
      </c>
      <c r="B4" s="4" t="s">
        <v>310</v>
      </c>
      <c r="C4" s="4" t="s">
        <v>311</v>
      </c>
      <c r="D4" s="4" t="s">
        <v>312</v>
      </c>
      <c r="E4" s="4" t="s">
        <v>313</v>
      </c>
    </row>
    <row r="5" customFormat="false" ht="26.85" hidden="false" customHeight="false" outlineLevel="0" collapsed="false">
      <c r="A5" s="4" t="s">
        <v>314</v>
      </c>
      <c r="B5" s="4" t="s">
        <v>315</v>
      </c>
      <c r="C5" s="4" t="s">
        <v>316</v>
      </c>
      <c r="D5" s="4" t="s">
        <v>317</v>
      </c>
      <c r="E5" s="4" t="s">
        <v>318</v>
      </c>
    </row>
    <row r="6" customFormat="false" ht="64.9" hidden="false" customHeight="false" outlineLevel="0" collapsed="false">
      <c r="A6" s="4" t="s">
        <v>319</v>
      </c>
      <c r="B6" s="4" t="s">
        <v>320</v>
      </c>
      <c r="C6" s="4" t="s">
        <v>321</v>
      </c>
      <c r="D6" s="4" t="s">
        <v>322</v>
      </c>
      <c r="E6" s="4" t="s">
        <v>323</v>
      </c>
    </row>
    <row r="7" customFormat="false" ht="39.55" hidden="false" customHeight="false" outlineLevel="0" collapsed="false">
      <c r="A7" s="4" t="s">
        <v>324</v>
      </c>
      <c r="B7" s="4" t="s">
        <v>325</v>
      </c>
      <c r="C7" s="4" t="s">
        <v>326</v>
      </c>
      <c r="D7" s="4" t="s">
        <v>327</v>
      </c>
      <c r="E7" s="4" t="s">
        <v>328</v>
      </c>
    </row>
    <row r="8" customFormat="false" ht="39.55" hidden="false" customHeight="false" outlineLevel="0" collapsed="false">
      <c r="A8" s="4" t="s">
        <v>329</v>
      </c>
      <c r="B8" s="4" t="s">
        <v>330</v>
      </c>
      <c r="C8" s="4" t="s">
        <v>331</v>
      </c>
      <c r="D8" s="4" t="s">
        <v>332</v>
      </c>
      <c r="E8" s="4" t="s">
        <v>333</v>
      </c>
    </row>
    <row r="9" customFormat="false" ht="26.85" hidden="false" customHeight="false" outlineLevel="0" collapsed="false">
      <c r="A9" s="4" t="s">
        <v>334</v>
      </c>
      <c r="B9" s="4" t="s">
        <v>335</v>
      </c>
      <c r="C9" s="4" t="s">
        <v>336</v>
      </c>
      <c r="D9" s="4" t="s">
        <v>337</v>
      </c>
      <c r="E9" s="4" t="s">
        <v>338</v>
      </c>
    </row>
    <row r="10" customFormat="false" ht="64.9" hidden="false" customHeight="false" outlineLevel="0" collapsed="false">
      <c r="A10" s="4" t="s">
        <v>339</v>
      </c>
      <c r="B10" s="4" t="s">
        <v>340</v>
      </c>
      <c r="C10" s="4" t="s">
        <v>336</v>
      </c>
      <c r="D10" s="4" t="s">
        <v>341</v>
      </c>
      <c r="E10" s="4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10"/>
    <col collapsed="false" customWidth="true" hidden="false" outlineLevel="0" max="4" min="4" style="0" width="45"/>
  </cols>
  <sheetData>
    <row r="1" customFormat="false" ht="242.5" hidden="false" customHeight="false" outlineLevel="0" collapsed="false">
      <c r="A1" s="6" t="s">
        <v>343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3" t="s">
        <v>10</v>
      </c>
      <c r="B3" s="3" t="s">
        <v>344</v>
      </c>
      <c r="C3" s="3" t="s">
        <v>345</v>
      </c>
      <c r="D3" s="3" t="s">
        <v>346</v>
      </c>
    </row>
    <row r="4" customFormat="false" ht="77.6" hidden="false" customHeight="false" outlineLevel="0" collapsed="false">
      <c r="A4" s="4" t="n">
        <v>1</v>
      </c>
      <c r="B4" s="4" t="s">
        <v>347</v>
      </c>
      <c r="C4" s="4" t="s">
        <v>348</v>
      </c>
      <c r="D4" s="4" t="s">
        <v>349</v>
      </c>
    </row>
    <row r="5" customFormat="false" ht="52.2" hidden="false" customHeight="false" outlineLevel="0" collapsed="false">
      <c r="A5" s="4" t="n">
        <v>2</v>
      </c>
      <c r="B5" s="4" t="s">
        <v>350</v>
      </c>
      <c r="C5" s="4" t="s">
        <v>351</v>
      </c>
      <c r="D5" s="4" t="s">
        <v>352</v>
      </c>
    </row>
    <row r="6" customFormat="false" ht="39.55" hidden="false" customHeight="false" outlineLevel="0" collapsed="false">
      <c r="A6" s="4" t="n">
        <v>3</v>
      </c>
      <c r="B6" s="4" t="s">
        <v>353</v>
      </c>
      <c r="C6" s="4" t="s">
        <v>354</v>
      </c>
      <c r="D6" s="4" t="s">
        <v>355</v>
      </c>
    </row>
    <row r="7" customFormat="false" ht="52.2" hidden="false" customHeight="false" outlineLevel="0" collapsed="false">
      <c r="A7" s="4" t="n">
        <v>4</v>
      </c>
      <c r="B7" s="4" t="s">
        <v>356</v>
      </c>
      <c r="C7" s="4" t="s">
        <v>357</v>
      </c>
      <c r="D7" s="4" t="s">
        <v>358</v>
      </c>
    </row>
    <row r="8" customFormat="false" ht="39.55" hidden="false" customHeight="false" outlineLevel="0" collapsed="false">
      <c r="A8" s="4" t="n">
        <v>5</v>
      </c>
      <c r="B8" s="4" t="s">
        <v>359</v>
      </c>
      <c r="C8" s="4" t="s">
        <v>360</v>
      </c>
      <c r="D8" s="4" t="s">
        <v>361</v>
      </c>
    </row>
    <row r="9" customFormat="false" ht="52.2" hidden="false" customHeight="false" outlineLevel="0" collapsed="false">
      <c r="A9" s="4" t="n">
        <v>6</v>
      </c>
      <c r="B9" s="4" t="s">
        <v>362</v>
      </c>
      <c r="C9" s="4" t="s">
        <v>363</v>
      </c>
      <c r="D9" s="4" t="s">
        <v>364</v>
      </c>
    </row>
    <row r="10" customFormat="false" ht="64.9" hidden="false" customHeight="false" outlineLevel="0" collapsed="false">
      <c r="A10" s="4" t="n">
        <v>7</v>
      </c>
      <c r="B10" s="4" t="s">
        <v>365</v>
      </c>
      <c r="C10" s="4" t="s">
        <v>366</v>
      </c>
      <c r="D10" s="4" t="s">
        <v>367</v>
      </c>
    </row>
    <row r="11" customFormat="false" ht="52.2" hidden="false" customHeight="false" outlineLevel="0" collapsed="false">
      <c r="A11" s="4" t="n">
        <v>8</v>
      </c>
      <c r="B11" s="4" t="s">
        <v>368</v>
      </c>
      <c r="C11" s="4" t="s">
        <v>369</v>
      </c>
      <c r="D11" s="4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2026-09-28T12:58:21Z</dcterms:created>
  <dc:creator>openpyxl</dc:creator>
  <dc:description/>
  <dc:language>en-US</dc:language>
  <cp:lastModifiedBy/>
  <dcterms:modified xsi:type="dcterms:W3CDTF">2026-09-28T12:58:22Z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