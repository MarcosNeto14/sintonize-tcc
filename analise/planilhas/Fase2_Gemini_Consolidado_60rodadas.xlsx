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odadas" sheetId="2" state="visible" r:id="rId4"/>
    <sheet name="Consolidado" sheetId="3" state="visible" r:id="rId5"/>
    <sheet name="Bugs plantados" sheetId="4" state="visible" r:id="rId6"/>
    <sheet name="Classificações" sheetId="5" state="visible" r:id="rId7"/>
    <sheet name="Ocorrências" sheetId="6" state="visible" r:id="rId8"/>
  </sheets>
  <definedNames>
    <definedName function="false" hidden="true" localSheetId="1" name="_xlnm._FilterDatabase" vbProcedure="false">Rodadas!$A$1:$V$65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<sst xmlns="http://schemas.openxmlformats.org/spreadsheetml/2006/main" count="1843" uniqueCount="481">
  <si>
    <t xml:space="preserve">Réplica Fase 2 — Gemini 3.8 Flash · consolidado das 60 rodadas (+4 reexecuções)</t>
  </si>
  <si>
    <t xml:space="preserve">Fonte: fase2-gemini-consolidado (2026-09-24): 64 docs de rodada, 134 saídas de flutter test, 70 arquivos de teste. Nenhum arquivo do pacote foi alterado.</t>
  </si>
  <si>
    <t xml:space="preserve">Regras de contagem aplicadas</t>
  </si>
  <si>
    <t xml:space="preserve">1. As 4 rodadas _REEXEC estão na aba Rodadas com grupo "REEXEC" e ficam FORA de toda agregação das 60.</t>
  </si>
  <si>
    <t xml:space="preserve">2. formatName (3 rodadas) tem grupo próprio "formatName (bug nativo)" — não entra nos alvos limpos nem nos bugs plantados.</t>
  </si>
  <si>
    <t xml:space="preserve">3. Alvos limpos na contagem: 21 unitário + 9 widget + 9 integração = 39. Bugs plantados: 18. formatName: 3. Total 60.</t>
  </si>
  <si>
    <t xml:space="preserve">4. "Testes passando (final)" = estado arquivado após a última iteração usada. Quando o arquivo final não compila/não carrega, vale 0 e a coluna "Estado final" diz por quê; o melhor estado intermediário fica em "Melhor intermediário".</t>
  </si>
  <si>
    <t xml:space="preserve">5. "Iterações" = iterações de reparo efetivamente usadas (0–3). "Tentativas" = envios até obter resposta na geração (recusas + erros de serviço + 1). Recusas em reparo (rodada 51) somadas em Tentativas.</t>
  </si>
  <si>
    <t xml:space="preserve">6. "Ajuda de import" = prompt traz a linha de import real (6 prompts limpos de CriarPlaylistScreen/playlistFlow + W-CRASH-{ZS,COT} + I-SILENT-{ZS,COT}). Todo prompt FS NÃO traz. Rodadas 13, 14, 15 usam prompt com material divergente do app (defeituoso).</t>
  </si>
  <si>
    <t xml:space="preserve">7. "Avaliação" = auditoria humana registrada nos docs de rodada, se cada autoclassificação (A)/(B)/(C) procede.</t>
  </si>
  <si>
    <t xml:space="preserve">8. Taxa de aprovação e qualidade de diagnóstico são dimensões separadas — ver aba Consolidado (colunas de aprovação) e aba Classificações (colunas de diagnóstico). Não somar limpo com bug plantado.</t>
  </si>
  <si>
    <t xml:space="preserve">Abas</t>
  </si>
  <si>
    <t xml:space="preserve">Rodadas — uma linha por rodada (64). Consolidado — nível × estratégia × grupo, com fórmulas sobre a aba Rodadas. Bugs plantados — matriz 6 bugs × 3 estratégias (detecção). Classificações — cada (A)/(B)/(C) emitida e o veredito da auditoria. Ocorrências — recusas, erros de serviço, respostas truncadas/malformadas.</t>
  </si>
  <si>
    <t xml:space="preserve">Coluna "Ajuda de import" corrigida em 2026-10-08 (fase2-gemini/analise/ajuda_import.md): 10 prompts de bug com linha import package:sintonize/ (9 + 1 genérico), 5 com caminho só em prosa/comentário, 3 sem nada (W-CRASH-FS, W-SILENT-FS, I-SILENT-FS). A contagem "4" do LEIA-PRIMEIRO referia-se só à linha de criar_playlist.dart.</t>
  </si>
  <si>
    <t xml:space="preserve">#</t>
  </si>
  <si>
    <t xml:space="preserve">ID da rodada</t>
  </si>
  <si>
    <t xml:space="preserve">Nível</t>
  </si>
  <si>
    <t xml:space="preserve">Estratégia</t>
  </si>
  <si>
    <t xml:space="preserve">Alvo</t>
  </si>
  <si>
    <t xml:space="preserve">Grupo</t>
  </si>
  <si>
    <t xml:space="preserve">Bug</t>
  </si>
  <si>
    <t xml:space="preserve">Ajuda de import</t>
  </si>
  <si>
    <t xml:space="preserve">Compilou na 1ª</t>
  </si>
  <si>
    <t xml:space="preserve">Testes gerados</t>
  </si>
  <si>
    <t xml:space="preserve">Passando (final)</t>
  </si>
  <si>
    <t xml:space="preserve">Falhando (final)</t>
  </si>
  <si>
    <t xml:space="preserve">Estado final</t>
  </si>
  <si>
    <t xml:space="preserve">Melhor intermediário</t>
  </si>
  <si>
    <t xml:space="preserve">Iterações de reparo</t>
  </si>
  <si>
    <t xml:space="preserve">Tentativas de envio</t>
  </si>
  <si>
    <t xml:space="preserve">Recusas</t>
  </si>
  <si>
    <t xml:space="preserve">Erros de serviço</t>
  </si>
  <si>
    <t xml:space="preserve">Autoclassificações</t>
  </si>
  <si>
    <t xml:space="preserve">Avaliação da auditoria</t>
  </si>
  <si>
    <t xml:space="preserve">Detecção do bug</t>
  </si>
  <si>
    <t xml:space="preserve">Notas</t>
  </si>
  <si>
    <t xml:space="preserve">FASE2-UCRASH-ZS</t>
  </si>
  <si>
    <t xml:space="preserve">Unitário</t>
  </si>
  <si>
    <t xml:space="preserve">ZS</t>
  </si>
  <si>
    <t xml:space="preserve">capitalize</t>
  </si>
  <si>
    <t xml:space="preserve">Bug plantado</t>
  </si>
  <si>
    <t xml:space="preserve">U-CRASH</t>
  </si>
  <si>
    <t xml:space="preserve">Só em prosa/comentário</t>
  </si>
  <si>
    <t xml:space="preserve">Sim</t>
  </si>
  <si>
    <t xml:space="preserve">executa</t>
  </si>
  <si>
    <t xml:space="preserve">—</t>
  </si>
  <si>
    <t xml:space="preserve">(C)</t>
  </si>
  <si>
    <t xml:space="preserve">Procede — (C) confirmado com 3 asserções throwsA</t>
  </si>
  <si>
    <t xml:space="preserve">(C) com asserção</t>
  </si>
  <si>
    <t xml:space="preserve">Contradisse a docstring, testou 3 variantes e propôs a guarda exata.</t>
  </si>
  <si>
    <t xml:space="preserve">FASE2-UCRASH-FS</t>
  </si>
  <si>
    <t xml:space="preserve">FS</t>
  </si>
  <si>
    <t xml:space="preserve">Procede na categoria; (C) só em prosa, 0 asserções capturam o bug</t>
  </si>
  <si>
    <t xml:space="preserve">(C) só em prosa</t>
  </si>
  <si>
    <t xml:space="preserve">Suíte passa porque desvia das entradas que disparam o bug. Exemplos FS só usam isNull/isNotNull.</t>
  </si>
  <si>
    <t xml:space="preserve">FASE2-UCRASH-COT</t>
  </si>
  <si>
    <t xml:space="preserve">COT</t>
  </si>
  <si>
    <t xml:space="preserve">Sim (linha import)</t>
  </si>
  <si>
    <t xml:space="preserve">Procede — detecção no passo de análise, 3 asserções</t>
  </si>
  <si>
    <t xml:space="preserve">Mesmas 3 entradas da ZS; prosa com formatação corrompida.</t>
  </si>
  <si>
    <t xml:space="preserve">FASE2-USILENT-ZS</t>
  </si>
  <si>
    <t xml:space="preserve">validateSenha</t>
  </si>
  <si>
    <t xml:space="preserve">U-SILENT</t>
  </si>
  <si>
    <t xml:space="preserve">Procede — teste de borda dedicado a 6 chars</t>
  </si>
  <si>
    <t xml:space="preserve">Declarou a política "testar o código, não a especificação" e apontou a correção (&lt; 6).</t>
  </si>
  <si>
    <t xml:space="preserve">FASE2-USILENT-FS</t>
  </si>
  <si>
    <t xml:space="preserve">Procede — asserção dedicada</t>
  </si>
  <si>
    <t xml:space="preserve">Forma de asserção necessária (comparação de string) estava nos exemplos; capturou.</t>
  </si>
  <si>
    <t xml:space="preserve">FASE2-USILENT-COT</t>
  </si>
  <si>
    <t xml:space="preserve">1ª recusa em 3.8 Flash, prompt de geração. Primeira rodada automatizada.</t>
  </si>
  <si>
    <t xml:space="preserve">FASE2-WCRASH-ZS</t>
  </si>
  <si>
    <t xml:space="preserve">Widget</t>
  </si>
  <si>
    <t xml:space="preserve">CriarPlaylistScreen</t>
  </si>
  <si>
    <t xml:space="preserve">W-CRASH</t>
  </si>
  <si>
    <t xml:space="preserve">n/a (sem reparo, sem (C))</t>
  </si>
  <si>
    <t xml:space="preserve">Não detectado</t>
  </si>
  <si>
    <t xml:space="preserve">Testa _filterMusicas mas todos os mocks têm artist_name.</t>
  </si>
  <si>
    <t xml:space="preserve">FASE2-WCRASH-FS</t>
  </si>
  <si>
    <t xml:space="preserve">Não</t>
  </si>
  <si>
    <t xml:space="preserve">(A); (A); (A)</t>
  </si>
  <si>
    <t xml:space="preserve">Categoria correta nas 3; correções erradas (3 caminhos inventados); iteração 3 colou o widget no teste → suíte não testa a aplicação</t>
  </si>
  <si>
    <t xml:space="preserve">Regressão introduzida na iter 2 (findsOneWidget→findsNothing). Execução anterior com 2 recusas perdida, fora da contagem.</t>
  </si>
  <si>
    <t xml:space="preserve">FASE2-WCRASH-COT</t>
  </si>
  <si>
    <t xml:space="preserve">n/a</t>
  </si>
  <si>
    <t xml:space="preserve">Suíte mais sofisticada do bloco (mocks gerados, navegação); "cenários de erro" lido só como infraestrutura.</t>
  </si>
  <si>
    <t xml:space="preserve">FASE2-WSILENT-ZS</t>
  </si>
  <si>
    <t xml:space="preserve">LoginScreen</t>
  </si>
  <si>
    <t xml:space="preserve">W-SILENT</t>
  </si>
  <si>
    <t xml:space="preserve">(A); (B)</t>
  </si>
  <si>
    <t xml:space="preserve">(A) procede. (B) procede como limitação de testabilidade (TelaInicialScreen acopla FirebaseAuth.instance) — real, mas não é o bug plantado</t>
  </si>
  <si>
    <t xml:space="preserve">Canonizado</t>
  </si>
  <si>
    <t xml:space="preserve">4 testes de mensagem passam asserindo as strings trocadas; corrigir o bug quebraria 2 testes.</t>
  </si>
  <si>
    <t xml:space="preserve">FASE2-WSILENT-FS</t>
  </si>
  <si>
    <t xml:space="preserve">(A); (A)</t>
  </si>
  <si>
    <t xml:space="preserve">Diagnósticos corretos; correção da iter 2 colou LoginScreen no teste → suíte não testa a aplicação</t>
  </si>
  <si>
    <t xml:space="preserve">Canonizado (sobre cópia)</t>
  </si>
  <si>
    <t xml:space="preserve">Copiou a API inexistente do exemplo (authExceptions) e descartou a asserção do exemplo que exporia o bug.</t>
  </si>
  <si>
    <t xml:space="preserve">FASE2-WSILENT-COT</t>
  </si>
  <si>
    <t xml:space="preserve">(B)</t>
  </si>
  <si>
    <t xml:space="preserve">Procede (TelaInicialScreen) — não é o bug plantado</t>
  </si>
  <si>
    <t xml:space="preserve">Enunciou o par invertido no passo de análise e chamou de "correta". Prompt mais favorável do experimento.</t>
  </si>
  <si>
    <t xml:space="preserve">FASE2-ICRASH-ZS</t>
  </si>
  <si>
    <t xml:space="preserve">Integração</t>
  </si>
  <si>
    <t xml:space="preserve">GenerosCadastroScreen</t>
  </si>
  <si>
    <t xml:space="preserve">I-CRASH</t>
  </si>
  <si>
    <t xml:space="preserve">(A); (A); (B)</t>
  </si>
  <si>
    <t xml:space="preserve">(A)(A) procedem. (B) NÃO procede: confabulado sobre material do prompt (SwitchListTile inexistente, ListView "sem altura")</t>
  </si>
  <si>
    <t xml:space="preserve">Não detectado (teste não escrito)</t>
  </si>
  <si>
    <t xml:space="preserve">Prompt defeituoso (material divergente do app). Requisito "usuário não autenticado" pedido e não escrito.</t>
  </si>
  <si>
    <t xml:space="preserve">FASE2-ICRASH-FS</t>
  </si>
  <si>
    <t xml:space="preserve">(A)(A) procedem. (B) NÃO procede nos 3 pontos: prescreve como correção o que lib/cadastro.dart já faz</t>
  </si>
  <si>
    <t xml:space="preserve">Única FS a acertar o import (cabeçalho de comentário no prompt). Prompt sem requisito de não autenticado.</t>
  </si>
  <si>
    <t xml:space="preserve">FASE2-ICRASH-COT</t>
  </si>
  <si>
    <t xml:space="preserve">Sim (genérico package:sintonize/...)</t>
  </si>
  <si>
    <t xml:space="preserve">(A)(A) procedem (mas iter 2 enfraqueceu isA&lt;TypeError&gt;→isNotNull sob (A)). (B) procede em 2 de 3 itens: nomeia o bug plantado (linha 44) e a TelaInicialScreen; erra a validação</t>
  </si>
  <si>
    <t xml:space="preserve">Canonizado (exercitado; asserção exige o TypeError)</t>
  </si>
  <si>
    <t xml:space="preserve">Único do bloco a exercitar o bug. Texto chama de defeito; teste fixa como esperado.</t>
  </si>
  <si>
    <t xml:space="preserve">FASE2-ISILENT-ZS</t>
  </si>
  <si>
    <t xml:space="preserve">I-SILENT</t>
  </si>
  <si>
    <t xml:space="preserve">(A)</t>
  </si>
  <si>
    <t xml:space="preserve">Procede (diagnóstico impreciso; enfraqueceu contains→isNotEmpty sob (A))</t>
  </si>
  <si>
    <t xml:space="preserve">Visto em prosa, não testado</t>
  </si>
  <si>
    <t xml:space="preserve">Menção espontânea ao "Nova Playlist" fixo na geração; asserção sobre nome ficou de fora.</t>
  </si>
  <si>
    <t xml:space="preserve">FASE2-ISILENT-FS</t>
  </si>
  <si>
    <t xml:space="preserve">não compila</t>
  </si>
  <si>
    <t xml:space="preserve">Procedem</t>
  </si>
  <si>
    <t xml:space="preserve">Nunca compilou (import). Exemplo FS trazia literalmente a asserção que pegaria o bug; omitida. Resposta truncada e recomeçada.</t>
  </si>
  <si>
    <t xml:space="preserve">FASE2-ISILENT-COT</t>
  </si>
  <si>
    <t xml:space="preserve">Procede</t>
  </si>
  <si>
    <t xml:space="preserve">expect(nome, equals("Nova Playlist")) — canonização mais explícita da réplica. Mencionou o bug 2x como "nota técnica".</t>
  </si>
  <si>
    <t xml:space="preserve">FASE2-UNIT-ZS-01_validateNome</t>
  </si>
  <si>
    <t xml:space="preserve">validateNome</t>
  </si>
  <si>
    <t xml:space="preserve">Limpo</t>
  </si>
  <si>
    <t xml:space="preserve">n/a (sem reparo)</t>
  </si>
  <si>
    <t xml:space="preserve">FASE2-UNIT-FS-01_validateNome</t>
  </si>
  <si>
    <t xml:space="preserve">Resposta truncada e recomeçada</t>
  </si>
  <si>
    <t xml:space="preserve">FASE2-UNIT-COT-01_validateNome</t>
  </si>
  <si>
    <t xml:space="preserve">FASE2-UNIT-ZS-03_validateNumero</t>
  </si>
  <si>
    <t xml:space="preserve">validateNumero</t>
  </si>
  <si>
    <t xml:space="preserve">Procede — premissa falsa sobre int.tryParse</t>
  </si>
  <si>
    <t xml:space="preserve">FASE2-UNIT-FS-03_validateNumero</t>
  </si>
  <si>
    <t xml:space="preserve">FASE2-UNIT-COT-03_validateNumero</t>
  </si>
  <si>
    <t xml:space="preserve">Procede — mesma premissa falsa sobre int.tryParse</t>
  </si>
  <si>
    <t xml:space="preserve">FASE2-UNIT-ZS-04_validateCEP</t>
  </si>
  <si>
    <t xml:space="preserve">validateCEP</t>
  </si>
  <si>
    <t xml:space="preserve">FASE2-UNIT-FS-04_validateCEP</t>
  </si>
  <si>
    <t xml:space="preserve">FASE2-UNIT-COT-04_validateCEP</t>
  </si>
  <si>
    <t xml:space="preserve">Erro de serviço 1096 na tentativa 1</t>
  </si>
  <si>
    <t xml:space="preserve">FASE2-UNIT-ZS-05_validateEmail</t>
  </si>
  <si>
    <t xml:space="preserve">validateEmail</t>
  </si>
  <si>
    <t xml:space="preserve">FASE2-UNIT-FS-05_validateEmail</t>
  </si>
  <si>
    <t xml:space="preserve">FASE2-UNIT-COT-05_validateEmail</t>
  </si>
  <si>
    <t xml:space="preserve">FASE2-UNIT-ZS-06_validateEmailLogin</t>
  </si>
  <si>
    <t xml:space="preserve">validateEmailLogin</t>
  </si>
  <si>
    <t xml:space="preserve">FASE2-UNIT-FS-06_validateEmailLogin</t>
  </si>
  <si>
    <t xml:space="preserve">FASE2-UNIT-COT-06_validateEmailLogin</t>
  </si>
  <si>
    <t xml:space="preserve">cenário listado e não testado</t>
  </si>
  <si>
    <t xml:space="preserve">FASE2-UNIT-ZS-07_validateEmailEdit</t>
  </si>
  <si>
    <t xml:space="preserve">validateEmailEdit</t>
  </si>
  <si>
    <t xml:space="preserve">FASE2-UNIT-FS-07_validateEmailEdit</t>
  </si>
  <si>
    <t xml:space="preserve">FASE2-UNIT-COT-07_validateEmailEdit</t>
  </si>
  <si>
    <t xml:space="preserve">FASE2-UNIT-ZS-08_formatName</t>
  </si>
  <si>
    <t xml:space="preserve">formatName</t>
  </si>
  <si>
    <t xml:space="preserve">formatName (bug nativo)</t>
  </si>
  <si>
    <t xml:space="preserve">RangeError canonizado (3 testes)</t>
  </si>
  <si>
    <t xml:space="preserve">FASE2-UNIT-FS-08_formatName</t>
  </si>
  <si>
    <t xml:space="preserve">RangeError só em prosa</t>
  </si>
  <si>
    <t xml:space="preserve">FASE2-UNIT-COT-08_formatName</t>
  </si>
  <si>
    <t xml:space="preserve">Resposta truncada e recomeçada; RangeError canonizado (2 testes)</t>
  </si>
  <si>
    <t xml:space="preserve">FASE2-UNIT-ZS-10_validateDate</t>
  </si>
  <si>
    <t xml:space="preserve">validateDate</t>
  </si>
  <si>
    <t xml:space="preserve">FASE2-UNIT-FS-10_validateDate</t>
  </si>
  <si>
    <t xml:space="preserve">só isNotNull, mensagens não conferidas</t>
  </si>
  <si>
    <t xml:space="preserve">FASE2-UNIT-COT-10_validateDate</t>
  </si>
  <si>
    <t xml:space="preserve">FASE2-WIDGET-ZS-01_CadastroScreen</t>
  </si>
  <si>
    <t xml:space="preserve">CadastroScreen</t>
  </si>
  <si>
    <t xml:space="preserve">Procedem (seletor ambíguo por Column; viewport 800×600)</t>
  </si>
  <si>
    <t xml:space="preserve">Resposta truncada e recomeçada na geração.</t>
  </si>
  <si>
    <t xml:space="preserve">FASE2-WIDGET-FS-01_CadastroScreen</t>
  </si>
  <si>
    <t xml:space="preserve">Mesmo seletor ambíguo da ZS, gerado de forma independente.</t>
  </si>
  <si>
    <t xml:space="preserve">FASE2-WIDGET-COT-01_CadastroScreen</t>
  </si>
  <si>
    <t xml:space="preserve">Procedem na natureza; 3 reparos gastos num mock de asset que o próprio passo de análise inventou</t>
  </si>
  <si>
    <t xml:space="preserve">Regressão na iter 2 (removeu import necessário). ViaCEP mockado com HttpOverrides à mão.</t>
  </si>
  <si>
    <t xml:space="preserve">FASE2-WIDGET-ZS-02_LoginScreen</t>
  </si>
  <si>
    <t xml:space="preserve">(B)+(A); (A); (A)</t>
  </si>
  <si>
    <t xml:space="preserve">(B) procede (TelaInicialScreen) — MAS o teste classificado (B) foi REMOVIDO da suíte (redução de escopo, contra o prompt de reparo)</t>
  </si>
  <si>
    <t xml:space="preserve">Suíte final verde porque não exercita o caminho feliz.</t>
  </si>
  <si>
    <t xml:space="preserve">FASE2-WIDGET-FS-02_LoginScreen</t>
  </si>
  <si>
    <t xml:space="preserve">(B)+(A)</t>
  </si>
  <si>
    <t xml:space="preserve">Procedem; (B) seguido de contorno no ambiente de teste (plataforma Firebase falsa) mantendo o teste</t>
  </si>
  <si>
    <t xml:space="preserve">Primeira vez, nas duas LLMs, que LoginScreen→TelaInicialScreen fica verde.</t>
  </si>
  <si>
    <t xml:space="preserve">FASE2-WIDGET-COT-02_LoginScreen</t>
  </si>
  <si>
    <t xml:space="preserve">(A); (A)+(B); (B)</t>
  </si>
  <si>
    <t xml:space="preserve">Procedem; (B) mantido sem alterar o teste (aderência literal ao protocolo)</t>
  </si>
  <si>
    <t xml:space="preserve">.mocks.dart com nome presumido queimou a iter 0.</t>
  </si>
  <si>
    <t xml:space="preserve">FASE2-WIDGET-ZS-03_CriarPlaylistScreen</t>
  </si>
  <si>
    <t xml:space="preserve">Falha de serviço (~3 min sem resposta) na tentativa 1. Confere nome digitado no Firestore.</t>
  </si>
  <si>
    <t xml:space="preserve">FASE2-WIDGET-FS-03_CriarPlaylistScreen</t>
  </si>
  <si>
    <t xml:space="preserve">Não exercita documento sem artist_name (ChatGPT FS achou esse defeito nativo na mesma rodada).</t>
  </si>
  <si>
    <t xml:space="preserve">FASE2-WIDGET-COT-03_CriarPlaylistScreen</t>
  </si>
  <si>
    <t xml:space="preserve">Procedem, todas sobre compilação; suíte só compilou na iter 3</t>
  </si>
  <si>
    <t xml:space="preserve">Duas APIs inexistentes do mockito (anyThat, any&lt;T&gt;()). 3 falhas finais = spinner infinito com lista vazia (candidato a (B), fora do alcance).</t>
  </si>
  <si>
    <t xml:space="preserve">FASE2-INT-ZS-01_loginFlow</t>
  </si>
  <si>
    <t xml:space="preserve">loginFlow</t>
  </si>
  <si>
    <t xml:space="preserve">Procedem; nunca chegou a classificar o [core/no-app] (apareceu só na última execução)</t>
  </si>
  <si>
    <t xml:space="preserve">.mocks.dart presumido + colisão de MockFirebaseAuth + finder posicional.</t>
  </si>
  <si>
    <t xml:space="preserve">FASE2-INT-FS-01_loginFlow</t>
  </si>
  <si>
    <t xml:space="preserve">(A); (B); (B)</t>
  </si>
  <si>
    <t xml:space="preserve">Procedem; (B) na iter 2 com teste mantido vermelho — mas deixou um (A) próprio (mock manual) sem corrigir</t>
  </si>
  <si>
    <t xml:space="preserve">0/4 pela aderência ao (B). Caso central do viés aprovação × diagnóstico.</t>
  </si>
  <si>
    <t xml:space="preserve">FASE2-INT-COT-01_loginFlow</t>
  </si>
  <si>
    <t xml:space="preserve">não carrega</t>
  </si>
  <si>
    <t xml:space="preserve">3/8</t>
  </si>
  <si>
    <t xml:space="preserve">Procedem na natureza; estratégia errada (perseguiu o mock da plataforma Firebase até quebrar o arquivo)</t>
  </si>
  <si>
    <t xml:space="preserve">Reparo piorou monotonicamente: 3/8 → não compila → 0 executam → não carrega.</t>
  </si>
  <si>
    <t xml:space="preserve">FASE2-INT-ZS-02_cadastroFlow</t>
  </si>
  <si>
    <t xml:space="preserve">cadastroFlow</t>
  </si>
  <si>
    <t xml:space="preserve">2/4</t>
  </si>
  <si>
    <t xml:space="preserve">(A)(A) procedem; a 3ª erra o alvo (tenta neutralizar limitação da aplicação via setupFirebaseCoreMocks sem import)</t>
  </si>
  <si>
    <t xml:space="preserve">Iter 2 desperdiçada (mesmo resultado bit a bit).</t>
  </si>
  <si>
    <t xml:space="preserve">FASE2-INT-FS-02_cadastroFlow</t>
  </si>
  <si>
    <t xml:space="preserve">Procedem; iters 2 e 3 sem código aplicável (pediu para ver linhas que ele mesmo escreveu)</t>
  </si>
  <si>
    <t xml:space="preserve">Markdown malformado na geração. Imports relativos contra a instrução.</t>
  </si>
  <si>
    <t xml:space="preserve">FASE2-INT-COT-02_cadastroFlow</t>
  </si>
  <si>
    <t xml:space="preserve">(B); (A); (A)</t>
  </si>
  <si>
    <t xml:space="preserve">Procedem; (B) correto seguido de contorno no ambiente de teste sem enfraquecer asserção; diagnosticou o SnackBar do ViaCEP</t>
  </si>
  <si>
    <t xml:space="preserve">Única rodada de integração a vencer a parede da TelaInicialScreen.</t>
  </si>
  <si>
    <t xml:space="preserve">FASE2-INT-ZS-03_playlistFlow</t>
  </si>
  <si>
    <t xml:space="preserve">playlistFlow</t>
  </si>
  <si>
    <t xml:space="preserve">Verifica nome dinamicamente (pegaria o I-SILENT).</t>
  </si>
  <si>
    <t xml:space="preserve">FASE2-INT-FS-03_playlistFlow</t>
  </si>
  <si>
    <t xml:space="preserve">Markdown malformado na geração. Não cobriu "usuário não autenticado", pedido no prompt.</t>
  </si>
  <si>
    <t xml:space="preserve">FASE2-INT-COT-03_playlistFlow</t>
  </si>
  <si>
    <t xml:space="preserve">Procedem; iter 1 inverteu silenciosamente uma asserção não relacionada e a iter 2 a corrigiu sem reconhecer a autoria</t>
  </si>
  <si>
    <t xml:space="preserve">Análise reiniciada no meio (malformado). Maior suíte verde da réplica.</t>
  </si>
  <si>
    <t xml:space="preserve">FASE2-ICRASH-COT_REEXEC</t>
  </si>
  <si>
    <t xml:space="preserve">REEXEC</t>
  </si>
  <si>
    <t xml:space="preserve">(A) procede; (B) do teste 8 procede (bug plantado); (B) final: 2 de 3 itens procedem</t>
  </si>
  <si>
    <t xml:space="preserve">Canonizado (exercitado)</t>
  </si>
  <si>
    <t xml:space="preserve">Reproduz a rodada 15 com material correto: diagnostica o bug e mantém a asserção que o exige.</t>
  </si>
  <si>
    <t xml:space="preserve">FASE2-ICRASH-FS_REEXEC</t>
  </si>
  <si>
    <t xml:space="preserve">1/2</t>
  </si>
  <si>
    <t xml:space="preserve">(A); (B)→(A)</t>
  </si>
  <si>
    <t xml:space="preserve">(A) procede. Iter 2: o (B) do rascunho truncado é o correto; o (A) final, que prevaleceu, não (setupFirebaseCoreMocks sem import)</t>
  </si>
  <si>
    <t xml:space="preserve">Material corrigido rendeu 1/2 (vs 1/4); bug não exercitado sem requisito.</t>
  </si>
  <si>
    <t xml:space="preserve">FASE2-ICRASH-ZS_REEXEC</t>
  </si>
  <si>
    <t xml:space="preserve">não executada</t>
  </si>
  <si>
    <t xml:space="preserve">Duas recusas ao mesmo prompt (27 mil chars); parada pelo protocolo.</t>
  </si>
  <si>
    <t xml:space="preserve">FASE2-WSILENT-FS_REEXEC</t>
  </si>
  <si>
    <t xml:space="preserve">Prompt corrigido (API real). Nunca achou lib/login.dart; terminou perguntando o caminho.</t>
  </si>
  <si>
    <t xml:space="preserve">Consolidado por nível × estratégia — fórmulas sobre a aba Rodadas (REEXEC excluídas)</t>
  </si>
  <si>
    <t xml:space="preserve">Rodadas</t>
  </si>
  <si>
    <t xml:space="preserve">Aprovação final (%)</t>
  </si>
  <si>
    <t xml:space="preserve">Rodadas 100% verdes</t>
  </si>
  <si>
    <t xml:space="preserve">Rodadas com reparo</t>
  </si>
  <si>
    <t xml:space="preserve">Iterações usadas (soma)</t>
  </si>
  <si>
    <t xml:space="preserve">Média de iterações</t>
  </si>
  <si>
    <t xml:space="preserve">Rodadas no máx. (3)</t>
  </si>
  <si>
    <t xml:space="preserve">Tentativas (soma)</t>
  </si>
  <si>
    <t xml:space="preserve">Rodadas com recusa</t>
  </si>
  <si>
    <t xml:space="preserve">Arquivo final não compila/carrega</t>
  </si>
  <si>
    <t xml:space="preserve">Todas</t>
  </si>
  <si>
    <t xml:space="preserve">Todos</t>
  </si>
  <si>
    <t xml:space="preserve">Limpo — todos os níveis, por estratégia</t>
  </si>
  <si>
    <t xml:space="preserve">Bug plantado — todos os níveis, por estratégia</t>
  </si>
  <si>
    <t xml:space="preserve">Nota: "Aprovação final (%)" = soma de testes passando ÷ soma de testes gerados no grupo; arquivos que não compilam contam 0 passando e todos os gerados no denominador. Para bugs plantados a aprovação NÃO mede detecção — ver aba Bugs plantados.</t>
  </si>
  <si>
    <t xml:space="preserve">Detecção dos 6 bugs plantados × 3 estratégias (18 rodadas) — dimensão de diagnóstico, independente da aprovação</t>
  </si>
  <si>
    <t xml:space="preserve">Tipo</t>
  </si>
  <si>
    <t xml:space="preserve">Detecção (rodadas em que alguma asserção ou (B) captura o bug)</t>
  </si>
  <si>
    <t xml:space="preserve">Leitura</t>
  </si>
  <si>
    <t xml:space="preserve">Crash</t>
  </si>
  <si>
    <t xml:space="preserve">(C) com asserção · 11/11</t>
  </si>
  <si>
    <t xml:space="preserve">(C) só em prosa · 6/6</t>
  </si>
  <si>
    <t xml:space="preserve">(C) com asserção · 10/10</t>
  </si>
  <si>
    <t xml:space="preserve">3/3 viram; 2/3 testaram</t>
  </si>
  <si>
    <t xml:space="preserve">Docstring dizia o oposto do código: incoerência local visível.</t>
  </si>
  <si>
    <t xml:space="preserve">Silencioso</t>
  </si>
  <si>
    <t xml:space="preserve">(C) com asserção · 7/7</t>
  </si>
  <si>
    <t xml:space="preserve">(C) com asserção · 5/5</t>
  </si>
  <si>
    <t xml:space="preserve">(C) com asserção · 8/8</t>
  </si>
  <si>
    <t xml:space="preserve">3/3</t>
  </si>
  <si>
    <t xml:space="preserve">Off-by-one entre comentário, mensagem e condição em 10 linhas.</t>
  </si>
  <si>
    <t xml:space="preserve">Não detectado · 5/5</t>
  </si>
  <si>
    <t xml:space="preserve">Não detectado · 3/5 (widget colado no teste)</t>
  </si>
  <si>
    <t xml:space="preserve">Não detectado · 9/9</t>
  </si>
  <si>
    <t xml:space="preserve">0/3</t>
  </si>
  <si>
    <t xml:space="preserve">Teste do filtro existe nas 3; nenhum mock sem artist_name. FS sem ajuda de import queimou as 3 iterações.</t>
  </si>
  <si>
    <t xml:space="preserve">Canonizado · 10/11 · (B) TelaInicial</t>
  </si>
  <si>
    <t xml:space="preserve">Canonizado sobre cópia · 9/9</t>
  </si>
  <si>
    <t xml:space="preserve">Canonizado · 9/10 · (B) TelaInicial</t>
  </si>
  <si>
    <t xml:space="preserve">0/3 — pior: 3/3 fixam o par trocado como esperado</t>
  </si>
  <si>
    <t xml:space="preserve">Não há incoerência sintática no material; exige semântica de user-not-found. Prompt mais favorável não bastou.</t>
  </si>
  <si>
    <t xml:space="preserve">Não detectado · 1/5 · (B) confabulado</t>
  </si>
  <si>
    <t xml:space="preserve">Não detectado · 1/4 · (B) confabulado</t>
  </si>
  <si>
    <t xml:space="preserve">Canonizado · 2/6 · (B) nomeia o bug</t>
  </si>
  <si>
    <t xml:space="preserve">1/3 nomeia (COT) — e a asserção exige o crash</t>
  </si>
  <si>
    <t xml:space="preserve">Prompt com material divergente do app; (B) errado quando a evidência vem só do prompt, certo quando vem do stack trace real.</t>
  </si>
  <si>
    <t xml:space="preserve">Visto em prosa, não testado · 2/2</t>
  </si>
  <si>
    <t xml:space="preserve">Visto em prosa, não testado · 0/2 (não compila)</t>
  </si>
  <si>
    <t xml:space="preserve">Canonizado · 4/4</t>
  </si>
  <si>
    <t xml:space="preserve">3/3 viram; 0/3 capturaram</t>
  </si>
  <si>
    <t xml:space="preserve">Bug mais visto e menos pego. FS tinha a asserção certa no exemplo e a omitiu; COT escreveu-a invertida.</t>
  </si>
  <si>
    <t xml:space="preserve">Resumo</t>
  </si>
  <si>
    <t xml:space="preserve">Detectado com asserção que falharia se o bug fosse corrigido (teste de caracterização) ou (C) explícito com asserção: U-CRASH ZS/COT, U-SILENT ZS/FS/COT = 5/18. (C) só em prosa: U-CRASH FS = 1/18. Canonizado (suíte verde que DEFENDE o bug): W-SILENT ×3, I-CRASH COT, I-SILENT COT = 5/18. Visto em prosa e não testado: I-SILENT ZS/FS = 2/18. Não visto: W-CRASH ×3, I-CRASH ZS/FS = 5/18.</t>
  </si>
  <si>
    <t xml:space="preserve">Enfraquecimento de asserção: nenhum sob (B). Dois sob (A): I-CRASH COT iter 2 (isA&lt;TypeError&gt; → isNotNull) e I-SILENT ZS iter 1 (contains → isNotEmpty). Redução de escopo: WIDGET-ZS-02 (alvo limpo) removeu o teste classificado (B). "Trocar o sujeito do teste" (colar o widget no arquivo de teste): W-CRASH FS e W-SILENT FS.</t>
  </si>
  <si>
    <t xml:space="preserve">Toda autoclassificação emitida nas 60 rodadas (+REEXEC), com o veredito da auditoria humana</t>
  </si>
  <si>
    <t xml:space="preserve">Rodada</t>
  </si>
  <si>
    <t xml:space="preserve">Iteração</t>
  </si>
  <si>
    <t xml:space="preserve">Classe declarada</t>
  </si>
  <si>
    <t xml:space="preserve">Veredito da auditoria</t>
  </si>
  <si>
    <t xml:space="preserve">Observação</t>
  </si>
  <si>
    <t xml:space="preserve">geração</t>
  </si>
  <si>
    <t xml:space="preserve">3 asserções throwsA + correção exata</t>
  </si>
  <si>
    <t xml:space="preserve">Procede (categoria); fraco</t>
  </si>
  <si>
    <t xml:space="preserve">Só em prosa, 0 asserções</t>
  </si>
  <si>
    <t xml:space="preserve">Detecção no passo de análise</t>
  </si>
  <si>
    <t xml:space="preserve">Teste de borda 6/7</t>
  </si>
  <si>
    <t xml:space="preserve">1</t>
  </si>
  <si>
    <t xml:space="preserve">Procede (categoria); correção errada</t>
  </si>
  <si>
    <t xml:space="preserve">2º caminho inventado</t>
  </si>
  <si>
    <t xml:space="preserve">2</t>
  </si>
  <si>
    <t xml:space="preserve">Procede (categoria); correção errada + regressão</t>
  </si>
  <si>
    <t xml:space="preserve">3º caminho, afirmado como fato</t>
  </si>
  <si>
    <t xml:space="preserve">3</t>
  </si>
  <si>
    <t xml:space="preserve">Procede (categoria); correção descaracteriza o teste</t>
  </si>
  <si>
    <t xml:space="preserve">Widget colado no arquivo de teste</t>
  </si>
  <si>
    <t xml:space="preserve">Infra de mock</t>
  </si>
  <si>
    <t xml:space="preserve">Procede (limitação de testabilidade real; não é o bug plantado)</t>
  </si>
  <si>
    <t xml:space="preserve">TelaInicialScreen acopla FirebaseAuth.instance</t>
  </si>
  <si>
    <t xml:space="preserve">Import comentado + authExceptions</t>
  </si>
  <si>
    <t xml:space="preserve">LoginScreen colada no arquivo de teste</t>
  </si>
  <si>
    <t xml:space="preserve">Procede (limitação real; não é o bug plantado)</t>
  </si>
  <si>
    <t xml:space="preserve">Mesmo diagnóstico da ZS</t>
  </si>
  <si>
    <t xml:space="preserve">Mock inline + gerado</t>
  </si>
  <si>
    <t xml:space="preserve">API inexistente reconhecida</t>
  </si>
  <si>
    <t xml:space="preserve">NÃO procede</t>
  </si>
  <si>
    <t xml:space="preserve">Confabulado: SwitchListTile/ListView que não existem no app</t>
  </si>
  <si>
    <t xml:space="preserve">Único FS a acertar o import</t>
  </si>
  <si>
    <t xml:space="preserve">Viewport + pumpAndSettle</t>
  </si>
  <si>
    <t xml:space="preserve">NÃO procede (3 de 3 itens)</t>
  </si>
  <si>
    <t xml:space="preserve">Prescreve o que lib/cadastro.dart já faz</t>
  </si>
  <si>
    <t xml:space="preserve">Viewport</t>
  </si>
  <si>
    <t xml:space="preserve">Procede — mas enfraqueceu asserção sob (A)</t>
  </si>
  <si>
    <t xml:space="preserve">isA&lt;TypeError&gt; → isNotNull</t>
  </si>
  <si>
    <t xml:space="preserve">Parcial (2 de 3 itens)</t>
  </si>
  <si>
    <t xml:space="preserve">Nomeia o bug plantado (linha 44) e TelaInicial; erra a validação</t>
  </si>
  <si>
    <t xml:space="preserve">Procede (diagnóstico impreciso); enfraqueceu sob (A)</t>
  </si>
  <si>
    <t xml:space="preserve">contains → isNotEmpty</t>
  </si>
  <si>
    <t xml:space="preserve">Import</t>
  </si>
  <si>
    <t xml:space="preserve">Import firebase_auth</t>
  </si>
  <si>
    <t xml:space="preserve">Premissa falsa sobre int.tryParse</t>
  </si>
  <si>
    <t xml:space="preserve">Mesma premissa, conversa independente</t>
  </si>
  <si>
    <t xml:space="preserve">Seletor ambíguo</t>
  </si>
  <si>
    <t xml:space="preserve">Dado de teste trocado (PE→AC)</t>
  </si>
  <si>
    <t xml:space="preserve">Imports + mock HTTP</t>
  </si>
  <si>
    <t xml:space="preserve">Procede (categoria); regressão</t>
  </si>
  <si>
    <t xml:space="preserve">Removeu import necessário</t>
  </si>
  <si>
    <t xml:space="preserve">Procede (categoria); mock de asset inventado</t>
  </si>
  <si>
    <t xml:space="preserve">FakeAssetBundle incompleto</t>
  </si>
  <si>
    <t xml:space="preserve">(B) procede — porém o teste foi REMOVIDO (redução de escopo)</t>
  </si>
  <si>
    <t xml:space="preserve">TelaInicialScreen</t>
  </si>
  <si>
    <t xml:space="preserve">mockito sem codegen</t>
  </si>
  <si>
    <t xml:space="preserve">Fake manual</t>
  </si>
  <si>
    <t xml:space="preserve">Procedem; (B) com teste mantido e contorno no ambiente</t>
  </si>
  <si>
    <t xml:space="preserve">Plataforma Firebase falsa</t>
  </si>
  <si>
    <t xml:space="preserve">.mocks.dart presumido</t>
  </si>
  <si>
    <t xml:space="preserve">(A)+(B)</t>
  </si>
  <si>
    <t xml:space="preserve">Viewport / TelaInicialScreen</t>
  </si>
  <si>
    <t xml:space="preserve">Procede; teste mantido vermelho</t>
  </si>
  <si>
    <t xml:space="preserve">Aderência literal ao protocolo</t>
  </si>
  <si>
    <t xml:space="preserve">Compilação</t>
  </si>
  <si>
    <t xml:space="preserve">Procede (categoria); correção com API inexistente</t>
  </si>
  <si>
    <t xml:space="preserve">anyThat</t>
  </si>
  <si>
    <t xml:space="preserve">Fake da coleção</t>
  </si>
  <si>
    <t xml:space="preserve">Colisão de identificador</t>
  </si>
  <si>
    <t xml:space="preserve">Finder posicional; [core/no-app] nunca classificado</t>
  </si>
  <si>
    <t xml:space="preserve">anyNamed sob null safety</t>
  </si>
  <si>
    <t xml:space="preserve">Procede; teste mantido — deixou (A) próprio sem corrigir</t>
  </si>
  <si>
    <t xml:space="preserve">Procede; teste mantido</t>
  </si>
  <si>
    <t xml:space="preserve">Observado/esperado/por quê</t>
  </si>
  <si>
    <t xml:space="preserve">Procede (categoria); estratégia errada</t>
  </si>
  <si>
    <t xml:space="preserve">setupFirebaseCoreMocks sem import</t>
  </si>
  <si>
    <t xml:space="preserve">channel-error</t>
  </si>
  <si>
    <t xml:space="preserve">Procede (categoria); arquivo deixa de carregar</t>
  </si>
  <si>
    <t xml:space="preserve">Binding não inicializado</t>
  </si>
  <si>
    <t xml:space="preserve">anyNamed</t>
  </si>
  <si>
    <t xml:space="preserve">Procede; iteração sem efeito</t>
  </si>
  <si>
    <t xml:space="preserve">Mesmo resultado bit a bit</t>
  </si>
  <si>
    <t xml:space="preserve">Categoria correta, alvo errado</t>
  </si>
  <si>
    <t xml:space="preserve">Ataca limitação da aplicação via mock; não compila</t>
  </si>
  <si>
    <t xml:space="preserve">Imports relativos</t>
  </si>
  <si>
    <t xml:space="preserve">Procede; sem código aplicável</t>
  </si>
  <si>
    <t xml:space="preserve">Pediu para ver linhas que ele escreveu</t>
  </si>
  <si>
    <t xml:space="preserve">Orientação genérica</t>
  </si>
  <si>
    <t xml:space="preserve">Procede; contorno no ambiente sem enfraquecer asserção</t>
  </si>
  <si>
    <t xml:space="preserve">ensureInitialized</t>
  </si>
  <si>
    <t xml:space="preserve">Procede — diagnóstico mais fino da réplica</t>
  </si>
  <si>
    <t xml:space="preserve">SnackBar do ViaCEP por cima da esperada</t>
  </si>
  <si>
    <t xml:space="preserve">Procede — mas inverteu silenciosamente uma asserção</t>
  </si>
  <si>
    <t xml:space="preserve">findsOneWidget → findsNothing</t>
  </si>
  <si>
    <t xml:space="preserve">Procede; corrigiu o próprio erro sem reconhecer a autoria</t>
  </si>
  <si>
    <t xml:space="preserve">Fake explícito no lugar do mockito</t>
  </si>
  <si>
    <t xml:space="preserve">1–3</t>
  </si>
  <si>
    <t xml:space="preserve">(A)×3</t>
  </si>
  <si>
    <t xml:space="preserve">Nunca achou lib/login.dart</t>
  </si>
  <si>
    <t xml:space="preserve">(B)→(A)</t>
  </si>
  <si>
    <t xml:space="preserve">(B) do rascunho procede; (A) final não</t>
  </si>
  <si>
    <t xml:space="preserve">Resposta truncada com duas classificações</t>
  </si>
  <si>
    <t xml:space="preserve">Colisão MockFirebaseAuth</t>
  </si>
  <si>
    <t xml:space="preserve">Procedem; (B) nomeia o bug plantado</t>
  </si>
  <si>
    <t xml:space="preserve">Teste ainda exige o TypeError</t>
  </si>
  <si>
    <t xml:space="preserve">Dropdown sem validator: errado</t>
  </si>
  <si>
    <t xml:space="preserve">Contagem (60 rodadas, sem REEXEC) — fórmulas</t>
  </si>
  <si>
    <t xml:space="preserve">(A) declaradas</t>
  </si>
  <si>
    <t xml:space="preserve">(B) declaradas</t>
  </si>
  <si>
    <t xml:space="preserve">(C) declaradas</t>
  </si>
  <si>
    <t xml:space="preserve">(B) que NÃO procedem</t>
  </si>
  <si>
    <t xml:space="preserve">(B) em bug plantado que nomeiam o bug plantado</t>
  </si>
  <si>
    <t xml:space="preserve">1 (I-CRASH COT, iter 3) — e o teste da mesma resposta exige o crash</t>
  </si>
  <si>
    <t xml:space="preserve">Ocorrências operacionais registradas nos docs (canal de envio: automação via Claude in Chrome salvo indicação)</t>
  </si>
  <si>
    <t xml:space="preserve">Detalhe</t>
  </si>
  <si>
    <t xml:space="preserve">Recusa</t>
  </si>
  <si>
    <t xml:space="preserve">6 USILENT-COT</t>
  </si>
  <si>
    <t xml:space="preserve">1 recusa, geração — 1ª em 3.8 Flash</t>
  </si>
  <si>
    <t xml:space="preserve">7 WCRASH-ZS</t>
  </si>
  <si>
    <t xml:space="preserve">1 recusa (em inglês)</t>
  </si>
  <si>
    <t xml:space="preserve">Recusa (execução perdida)</t>
  </si>
  <si>
    <t xml:space="preserve">8 WCRASH-FS</t>
  </si>
  <si>
    <t xml:space="preserve">2 recusas numa execução automatizada apagada antes da captura; fora da contagem</t>
  </si>
  <si>
    <t xml:space="preserve">19 UNIT-ZS-01</t>
  </si>
  <si>
    <t xml:space="preserve">20 UNIT-FS-01</t>
  </si>
  <si>
    <t xml:space="preserve">21 UNIT-COT-01</t>
  </si>
  <si>
    <t xml:space="preserve">Erro de serviço</t>
  </si>
  <si>
    <t xml:space="preserve">27 UNIT-COT-04</t>
  </si>
  <si>
    <t xml:space="preserve">"Algo deu errado (1096)", prompt devolvido</t>
  </si>
  <si>
    <t xml:space="preserve">28 UNIT-ZS-05</t>
  </si>
  <si>
    <t xml:space="preserve">30 UNIT-COT-05</t>
  </si>
  <si>
    <t xml:space="preserve">1; 2ª tentativa enviada manualmente</t>
  </si>
  <si>
    <t xml:space="preserve">35 UNIT-FS-07</t>
  </si>
  <si>
    <t xml:space="preserve">37 UNIT-ZS-08</t>
  </si>
  <si>
    <t xml:space="preserve">2 seguidas; 3ª manual</t>
  </si>
  <si>
    <t xml:space="preserve">40 UNIT-ZS-10</t>
  </si>
  <si>
    <t xml:space="preserve">42 UNIT-COT-10</t>
  </si>
  <si>
    <t xml:space="preserve">44 WIDGET-FS-01</t>
  </si>
  <si>
    <t xml:space="preserve">47 WIDGET-FS-02</t>
  </si>
  <si>
    <t xml:space="preserve">1; 2ª manual</t>
  </si>
  <si>
    <t xml:space="preserve">48 WIDGET-COT-02</t>
  </si>
  <si>
    <t xml:space="preserve">49 WIDGET-ZS-03</t>
  </si>
  <si>
    <t xml:space="preserve">~3 min carregando sem resposta; 2ª manual</t>
  </si>
  <si>
    <t xml:space="preserve">50 WIDGET-FS-03</t>
  </si>
  <si>
    <t xml:space="preserve">51 WIDGET-COT-03</t>
  </si>
  <si>
    <t xml:space="preserve">2: geração (2ª manual) e reparo 1 (reenvio via "Editar" com espaço final)</t>
  </si>
  <si>
    <t xml:space="preserve">53 INT-FS-01</t>
  </si>
  <si>
    <t xml:space="preserve">REEXEC WSILENT-FS</t>
  </si>
  <si>
    <t xml:space="preserve">Recusa (rodada perdida)</t>
  </si>
  <si>
    <t xml:space="preserve">REEXEC ICRASH-ZS</t>
  </si>
  <si>
    <t xml:space="preserve">2 ao mesmo prompt; não executada</t>
  </si>
  <si>
    <t xml:space="preserve">REEXEC ICRASH-FS</t>
  </si>
  <si>
    <t xml:space="preserve">REEXEC ICRASH-COT</t>
  </si>
  <si>
    <t xml:space="preserve">Markdown malformado pelo modelo</t>
  </si>
  <si>
    <t xml:space="preserve">56 INT-FS-02</t>
  </si>
  <si>
    <t xml:space="preserve">Cerca colada ao fim de frase, sem indentação nas primeiras linhas</t>
  </si>
  <si>
    <t xml:space="preserve">59 INT-FS-03</t>
  </si>
  <si>
    <t xml:space="preserve">Corte no meio de token (fake_) e recomeço</t>
  </si>
  <si>
    <t xml:space="preserve">60 INT-COT-03</t>
  </si>
  <si>
    <t xml:space="preserve">Análise reiniciada no meio, itens 1–4 repetidos</t>
  </si>
  <si>
    <t xml:space="preserve">3, 17, 18, 20, 21, 26, 31, 32, 39, 43, 56, REEXEC WSILENT-FS/ICRASH-FS/ICRASH-COT</t>
  </si>
  <si>
    <t xml:space="preserve">vários</t>
  </si>
  <si>
    <t xml:space="preserve">Rascunho cortado e reiniciado; usada a versão completa/final. Em ICRASH-FS_REEXEC as duas versões traziam classificações opostas</t>
  </si>
  <si>
    <t xml:space="preserve">Formatação corrompida</t>
  </si>
  <si>
    <t xml:space="preserve">3 UCRASH-COT</t>
  </si>
  <si>
    <t xml:space="preserve">Prosa sem quebras de linha, $\rightarrow$ cru</t>
  </si>
  <si>
    <t xml:space="preserve">Envio manual pelo operador</t>
  </si>
  <si>
    <t xml:space="preserve">30, 37, 40, 42, 47, 48, 49, 50, 51 (geração); 43, 44, 45, 46, 48 (reparos)</t>
  </si>
  <si>
    <t xml:space="preserve">Automação recusada/perdida → operador colou o mesmo prompt verbatim</t>
  </si>
  <si>
    <t xml:space="preserve">Ambiente</t>
  </si>
  <si>
    <t xml:space="preserve">Iter 0 em Flutter 3.41.6; iters 1–3 em 3.41.7 (máquina pessoal)</t>
  </si>
  <si>
    <t xml:space="preserve">build_runner como passo do operador</t>
  </si>
  <si>
    <t xml:space="preserve">48, 51, 52</t>
  </si>
  <si>
    <t xml:space="preserve">Necessário pelo .mocks.dart com nome presumido; em 52 apagou .mocks de rodada fechada (restaurado)</t>
  </si>
  <si>
    <t xml:space="preserve">Totais nas 60 rodadas: 21 recusas em 17 rodadas (tentativas de envio &gt; 1 em 19 rodadas contando 2 erros de serviço). Nas 4 REEXEC: 5 recusas, 1 rodada perdida. Nenhuma recusa nas 9 rodadas de integração limpa exceto a 53. Nenhuma recusa registrada na Fase 2 com ChatGPT.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</si>
</sst>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2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23.25" hidden="false" customHeight="true" outlineLevel="0" collapsed="false">
      <c r="A8" s="3" t="s">
        <v>6</v>
      </c>
    </row>
    <row r="9" customFormat="false" ht="23.25" hidden="false" customHeight="true" outlineLevel="0" collapsed="false">
      <c r="A9" s="3" t="s">
        <v>7</v>
      </c>
    </row>
    <row r="10" customFormat="false" ht="23.2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23.2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2" t="s">
        <v>11</v>
      </c>
    </row>
    <row r="15" customFormat="false" ht="23.25" hidden="false" customHeight="true" outlineLevel="0" collapsed="false">
      <c r="A15" s="3" t="s">
        <v>12</v>
      </c>
    </row>
    <row r="16" customFormat="false" ht="15" hidden="false" customHeight="false" outlineLevel="0" collapsed="false">
      <c r="A16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9" min="7" style="1" width="9"/>
    <col collapsed="false" customWidth="true" hidden="false" outlineLevel="0" max="12" min="10" style="1" width="8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6" min="15" style="1" width="9"/>
    <col collapsed="false" customWidth="true" hidden="false" outlineLevel="0" max="18" min="17" style="1" width="8"/>
    <col collapsed="false" customWidth="true" hidden="false" outlineLevel="0" max="19" min="19" style="1" width="16"/>
    <col collapsed="false" customWidth="true" hidden="false" outlineLevel="0" max="20" min="20" style="1" width="60"/>
    <col collapsed="false" customWidth="true" hidden="false" outlineLevel="0" max="21" min="21" style="1" width="26"/>
    <col collapsed="false" customWidth="true" hidden="false" outlineLevel="0" max="22" min="22" style="1" width="70"/>
  </cols>
  <sheetData>
    <row r="1" customFormat="false" ht="64.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</row>
    <row r="2" customFormat="false" ht="26.25" hidden="false" customHeight="true" outlineLevel="0" collapsed="false">
      <c r="A2" s="5" t="n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n">
        <v>11</v>
      </c>
      <c r="K2" s="5" t="n">
        <v>11</v>
      </c>
      <c r="L2" s="5" t="n">
        <v>0</v>
      </c>
      <c r="M2" s="5" t="s">
        <v>44</v>
      </c>
      <c r="N2" s="5" t="s">
        <v>45</v>
      </c>
      <c r="O2" s="5" t="n">
        <v>0</v>
      </c>
      <c r="P2" s="5" t="n">
        <v>1</v>
      </c>
      <c r="Q2" s="5" t="n">
        <v>0</v>
      </c>
      <c r="R2" s="5" t="n">
        <v>0</v>
      </c>
      <c r="S2" s="5" t="s">
        <v>46</v>
      </c>
      <c r="T2" s="5" t="s">
        <v>47</v>
      </c>
      <c r="U2" s="5" t="s">
        <v>48</v>
      </c>
      <c r="V2" s="5" t="s">
        <v>49</v>
      </c>
    </row>
    <row r="3" customFormat="false" ht="26.25" hidden="false" customHeight="true" outlineLevel="0" collapsed="false">
      <c r="A3" s="5" t="n">
        <v>2</v>
      </c>
      <c r="B3" s="5" t="s">
        <v>50</v>
      </c>
      <c r="C3" s="5" t="s">
        <v>37</v>
      </c>
      <c r="D3" s="5" t="s">
        <v>51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n">
        <v>6</v>
      </c>
      <c r="K3" s="5" t="n">
        <v>6</v>
      </c>
      <c r="L3" s="5" t="n">
        <v>0</v>
      </c>
      <c r="M3" s="5" t="s">
        <v>44</v>
      </c>
      <c r="N3" s="5" t="s">
        <v>45</v>
      </c>
      <c r="O3" s="5" t="n">
        <v>0</v>
      </c>
      <c r="P3" s="5" t="n">
        <v>1</v>
      </c>
      <c r="Q3" s="5" t="n">
        <v>0</v>
      </c>
      <c r="R3" s="5" t="n">
        <v>0</v>
      </c>
      <c r="S3" s="5" t="s">
        <v>46</v>
      </c>
      <c r="T3" s="5" t="s">
        <v>52</v>
      </c>
      <c r="U3" s="5" t="s">
        <v>53</v>
      </c>
      <c r="V3" s="5" t="s">
        <v>54</v>
      </c>
    </row>
    <row r="4" customFormat="false" ht="26.25" hidden="false" customHeight="true" outlineLevel="0" collapsed="false">
      <c r="A4" s="5" t="n">
        <v>3</v>
      </c>
      <c r="B4" s="5" t="s">
        <v>55</v>
      </c>
      <c r="C4" s="5" t="s">
        <v>37</v>
      </c>
      <c r="D4" s="5" t="s">
        <v>56</v>
      </c>
      <c r="E4" s="5" t="s">
        <v>39</v>
      </c>
      <c r="F4" s="5" t="s">
        <v>40</v>
      </c>
      <c r="G4" s="5" t="s">
        <v>41</v>
      </c>
      <c r="H4" s="5" t="s">
        <v>57</v>
      </c>
      <c r="I4" s="5" t="s">
        <v>43</v>
      </c>
      <c r="J4" s="5" t="n">
        <v>10</v>
      </c>
      <c r="K4" s="5" t="n">
        <v>10</v>
      </c>
      <c r="L4" s="5" t="n">
        <v>0</v>
      </c>
      <c r="M4" s="5" t="s">
        <v>44</v>
      </c>
      <c r="N4" s="5" t="s">
        <v>45</v>
      </c>
      <c r="O4" s="5" t="n">
        <v>0</v>
      </c>
      <c r="P4" s="5" t="n">
        <v>1</v>
      </c>
      <c r="Q4" s="5" t="n">
        <v>0</v>
      </c>
      <c r="R4" s="5" t="n">
        <v>0</v>
      </c>
      <c r="S4" s="5" t="s">
        <v>46</v>
      </c>
      <c r="T4" s="5" t="s">
        <v>58</v>
      </c>
      <c r="U4" s="5" t="s">
        <v>48</v>
      </c>
      <c r="V4" s="5" t="s">
        <v>59</v>
      </c>
    </row>
    <row r="5" customFormat="false" ht="26.25" hidden="false" customHeight="true" outlineLevel="0" collapsed="false">
      <c r="A5" s="5" t="n">
        <v>4</v>
      </c>
      <c r="B5" s="5" t="s">
        <v>60</v>
      </c>
      <c r="C5" s="5" t="s">
        <v>37</v>
      </c>
      <c r="D5" s="5" t="s">
        <v>38</v>
      </c>
      <c r="E5" s="5" t="s">
        <v>61</v>
      </c>
      <c r="F5" s="5" t="s">
        <v>40</v>
      </c>
      <c r="G5" s="5" t="s">
        <v>62</v>
      </c>
      <c r="H5" s="5" t="s">
        <v>42</v>
      </c>
      <c r="I5" s="5" t="s">
        <v>43</v>
      </c>
      <c r="J5" s="5" t="n">
        <v>7</v>
      </c>
      <c r="K5" s="5" t="n">
        <v>7</v>
      </c>
      <c r="L5" s="5" t="n">
        <v>0</v>
      </c>
      <c r="M5" s="5" t="s">
        <v>44</v>
      </c>
      <c r="N5" s="5" t="s">
        <v>45</v>
      </c>
      <c r="O5" s="5" t="n">
        <v>0</v>
      </c>
      <c r="P5" s="5" t="n">
        <v>1</v>
      </c>
      <c r="Q5" s="5" t="n">
        <v>0</v>
      </c>
      <c r="R5" s="5" t="n">
        <v>0</v>
      </c>
      <c r="S5" s="5" t="s">
        <v>46</v>
      </c>
      <c r="T5" s="5" t="s">
        <v>63</v>
      </c>
      <c r="U5" s="5" t="s">
        <v>48</v>
      </c>
      <c r="V5" s="5" t="s">
        <v>64</v>
      </c>
    </row>
    <row r="6" customFormat="false" ht="26.25" hidden="false" customHeight="true" outlineLevel="0" collapsed="false">
      <c r="A6" s="5" t="n">
        <v>5</v>
      </c>
      <c r="B6" s="5" t="s">
        <v>65</v>
      </c>
      <c r="C6" s="5" t="s">
        <v>37</v>
      </c>
      <c r="D6" s="5" t="s">
        <v>51</v>
      </c>
      <c r="E6" s="5" t="s">
        <v>61</v>
      </c>
      <c r="F6" s="5" t="s">
        <v>40</v>
      </c>
      <c r="G6" s="5" t="s">
        <v>62</v>
      </c>
      <c r="H6" s="5" t="s">
        <v>42</v>
      </c>
      <c r="I6" s="5" t="s">
        <v>43</v>
      </c>
      <c r="J6" s="5" t="n">
        <v>5</v>
      </c>
      <c r="K6" s="5" t="n">
        <v>5</v>
      </c>
      <c r="L6" s="5" t="n">
        <v>0</v>
      </c>
      <c r="M6" s="5" t="s">
        <v>44</v>
      </c>
      <c r="N6" s="5" t="s">
        <v>45</v>
      </c>
      <c r="O6" s="5" t="n">
        <v>0</v>
      </c>
      <c r="P6" s="5" t="n">
        <v>1</v>
      </c>
      <c r="Q6" s="5" t="n">
        <v>0</v>
      </c>
      <c r="R6" s="5" t="n">
        <v>0</v>
      </c>
      <c r="S6" s="5" t="s">
        <v>46</v>
      </c>
      <c r="T6" s="5" t="s">
        <v>66</v>
      </c>
      <c r="U6" s="5" t="s">
        <v>48</v>
      </c>
      <c r="V6" s="5" t="s">
        <v>67</v>
      </c>
    </row>
    <row r="7" customFormat="false" ht="26.25" hidden="false" customHeight="true" outlineLevel="0" collapsed="false">
      <c r="A7" s="5" t="n">
        <v>6</v>
      </c>
      <c r="B7" s="5" t="s">
        <v>68</v>
      </c>
      <c r="C7" s="5" t="s">
        <v>37</v>
      </c>
      <c r="D7" s="5" t="s">
        <v>56</v>
      </c>
      <c r="E7" s="5" t="s">
        <v>61</v>
      </c>
      <c r="F7" s="5" t="s">
        <v>40</v>
      </c>
      <c r="G7" s="5" t="s">
        <v>62</v>
      </c>
      <c r="H7" s="5" t="s">
        <v>57</v>
      </c>
      <c r="I7" s="5" t="s">
        <v>43</v>
      </c>
      <c r="J7" s="5" t="n">
        <v>8</v>
      </c>
      <c r="K7" s="5" t="n">
        <v>8</v>
      </c>
      <c r="L7" s="5" t="n">
        <v>0</v>
      </c>
      <c r="M7" s="5" t="s">
        <v>44</v>
      </c>
      <c r="N7" s="5" t="s">
        <v>45</v>
      </c>
      <c r="O7" s="5" t="n">
        <v>0</v>
      </c>
      <c r="P7" s="5" t="n">
        <v>2</v>
      </c>
      <c r="Q7" s="5" t="n">
        <v>1</v>
      </c>
      <c r="R7" s="5" t="n">
        <v>0</v>
      </c>
      <c r="S7" s="5" t="s">
        <v>46</v>
      </c>
      <c r="T7" s="5" t="s">
        <v>66</v>
      </c>
      <c r="U7" s="5" t="s">
        <v>48</v>
      </c>
      <c r="V7" s="5" t="s">
        <v>69</v>
      </c>
    </row>
    <row r="8" customFormat="false" ht="26.25" hidden="false" customHeight="true" outlineLevel="0" collapsed="false">
      <c r="A8" s="5" t="n">
        <v>7</v>
      </c>
      <c r="B8" s="5" t="s">
        <v>70</v>
      </c>
      <c r="C8" s="5" t="s">
        <v>71</v>
      </c>
      <c r="D8" s="5" t="s">
        <v>38</v>
      </c>
      <c r="E8" s="5" t="s">
        <v>72</v>
      </c>
      <c r="F8" s="5" t="s">
        <v>40</v>
      </c>
      <c r="G8" s="5" t="s">
        <v>73</v>
      </c>
      <c r="H8" s="5" t="s">
        <v>57</v>
      </c>
      <c r="I8" s="5" t="s">
        <v>43</v>
      </c>
      <c r="J8" s="5" t="n">
        <v>5</v>
      </c>
      <c r="K8" s="5" t="n">
        <v>5</v>
      </c>
      <c r="L8" s="5" t="n">
        <v>0</v>
      </c>
      <c r="M8" s="5" t="s">
        <v>44</v>
      </c>
      <c r="N8" s="5" t="s">
        <v>45</v>
      </c>
      <c r="O8" s="5" t="n">
        <v>0</v>
      </c>
      <c r="P8" s="5" t="n">
        <v>2</v>
      </c>
      <c r="Q8" s="5" t="n">
        <v>1</v>
      </c>
      <c r="R8" s="5" t="n">
        <v>0</v>
      </c>
      <c r="S8" s="5" t="s">
        <v>45</v>
      </c>
      <c r="T8" s="5" t="s">
        <v>74</v>
      </c>
      <c r="U8" s="5" t="s">
        <v>75</v>
      </c>
      <c r="V8" s="5" t="s">
        <v>76</v>
      </c>
    </row>
    <row r="9" customFormat="false" ht="39" hidden="false" customHeight="true" outlineLevel="0" collapsed="false">
      <c r="A9" s="5" t="n">
        <v>8</v>
      </c>
      <c r="B9" s="5" t="s">
        <v>77</v>
      </c>
      <c r="C9" s="5" t="s">
        <v>71</v>
      </c>
      <c r="D9" s="5" t="s">
        <v>51</v>
      </c>
      <c r="E9" s="5" t="s">
        <v>72</v>
      </c>
      <c r="F9" s="5" t="s">
        <v>40</v>
      </c>
      <c r="G9" s="5" t="s">
        <v>73</v>
      </c>
      <c r="H9" s="5" t="s">
        <v>78</v>
      </c>
      <c r="I9" s="5" t="s">
        <v>78</v>
      </c>
      <c r="J9" s="5" t="n">
        <v>5</v>
      </c>
      <c r="K9" s="5" t="n">
        <v>3</v>
      </c>
      <c r="L9" s="5" t="n">
        <v>2</v>
      </c>
      <c r="M9" s="5" t="s">
        <v>44</v>
      </c>
      <c r="N9" s="5" t="s">
        <v>45</v>
      </c>
      <c r="O9" s="5" t="n">
        <v>3</v>
      </c>
      <c r="P9" s="5" t="n">
        <v>1</v>
      </c>
      <c r="Q9" s="5" t="n">
        <v>0</v>
      </c>
      <c r="R9" s="5" t="n">
        <v>0</v>
      </c>
      <c r="S9" s="5" t="s">
        <v>79</v>
      </c>
      <c r="T9" s="5" t="s">
        <v>80</v>
      </c>
      <c r="U9" s="5" t="s">
        <v>75</v>
      </c>
      <c r="V9" s="5" t="s">
        <v>81</v>
      </c>
    </row>
    <row r="10" customFormat="false" ht="26.25" hidden="false" customHeight="true" outlineLevel="0" collapsed="false">
      <c r="A10" s="5" t="n">
        <v>9</v>
      </c>
      <c r="B10" s="5" t="s">
        <v>82</v>
      </c>
      <c r="C10" s="5" t="s">
        <v>71</v>
      </c>
      <c r="D10" s="5" t="s">
        <v>56</v>
      </c>
      <c r="E10" s="5" t="s">
        <v>72</v>
      </c>
      <c r="F10" s="5" t="s">
        <v>40</v>
      </c>
      <c r="G10" s="5" t="s">
        <v>73</v>
      </c>
      <c r="H10" s="5" t="s">
        <v>57</v>
      </c>
      <c r="I10" s="5" t="s">
        <v>43</v>
      </c>
      <c r="J10" s="5" t="n">
        <v>9</v>
      </c>
      <c r="K10" s="5" t="n">
        <v>9</v>
      </c>
      <c r="L10" s="5" t="n">
        <v>0</v>
      </c>
      <c r="M10" s="5" t="s">
        <v>44</v>
      </c>
      <c r="N10" s="5" t="s">
        <v>45</v>
      </c>
      <c r="O10" s="5" t="n">
        <v>0</v>
      </c>
      <c r="P10" s="5" t="n">
        <v>1</v>
      </c>
      <c r="Q10" s="5" t="n">
        <v>0</v>
      </c>
      <c r="R10" s="5" t="n">
        <v>0</v>
      </c>
      <c r="S10" s="5" t="s">
        <v>45</v>
      </c>
      <c r="T10" s="5" t="s">
        <v>83</v>
      </c>
      <c r="U10" s="5" t="s">
        <v>75</v>
      </c>
      <c r="V10" s="5" t="s">
        <v>84</v>
      </c>
    </row>
    <row r="11" customFormat="false" ht="39" hidden="false" customHeight="true" outlineLevel="0" collapsed="false">
      <c r="A11" s="5" t="n">
        <v>10</v>
      </c>
      <c r="B11" s="5" t="s">
        <v>85</v>
      </c>
      <c r="C11" s="5" t="s">
        <v>71</v>
      </c>
      <c r="D11" s="5" t="s">
        <v>38</v>
      </c>
      <c r="E11" s="5" t="s">
        <v>86</v>
      </c>
      <c r="F11" s="5" t="s">
        <v>40</v>
      </c>
      <c r="G11" s="5" t="s">
        <v>87</v>
      </c>
      <c r="H11" s="5" t="s">
        <v>57</v>
      </c>
      <c r="I11" s="5" t="s">
        <v>43</v>
      </c>
      <c r="J11" s="5" t="n">
        <v>11</v>
      </c>
      <c r="K11" s="5" t="n">
        <v>10</v>
      </c>
      <c r="L11" s="5" t="n">
        <v>1</v>
      </c>
      <c r="M11" s="5" t="s">
        <v>44</v>
      </c>
      <c r="N11" s="5" t="s">
        <v>45</v>
      </c>
      <c r="O11" s="5" t="n">
        <v>2</v>
      </c>
      <c r="P11" s="5" t="n">
        <v>1</v>
      </c>
      <c r="Q11" s="5" t="n">
        <v>0</v>
      </c>
      <c r="R11" s="5" t="n">
        <v>0</v>
      </c>
      <c r="S11" s="5" t="s">
        <v>88</v>
      </c>
      <c r="T11" s="5" t="s">
        <v>89</v>
      </c>
      <c r="U11" s="5" t="s">
        <v>90</v>
      </c>
      <c r="V11" s="5" t="s">
        <v>91</v>
      </c>
    </row>
    <row r="12" customFormat="false" ht="26.25" hidden="false" customHeight="true" outlineLevel="0" collapsed="false">
      <c r="A12" s="5" t="n">
        <v>11</v>
      </c>
      <c r="B12" s="5" t="s">
        <v>92</v>
      </c>
      <c r="C12" s="5" t="s">
        <v>71</v>
      </c>
      <c r="D12" s="5" t="s">
        <v>51</v>
      </c>
      <c r="E12" s="5" t="s">
        <v>86</v>
      </c>
      <c r="F12" s="5" t="s">
        <v>40</v>
      </c>
      <c r="G12" s="5" t="s">
        <v>87</v>
      </c>
      <c r="H12" s="5" t="s">
        <v>78</v>
      </c>
      <c r="I12" s="5" t="s">
        <v>78</v>
      </c>
      <c r="J12" s="5" t="n">
        <v>9</v>
      </c>
      <c r="K12" s="5" t="n">
        <v>9</v>
      </c>
      <c r="L12" s="5" t="n">
        <v>0</v>
      </c>
      <c r="M12" s="5" t="s">
        <v>44</v>
      </c>
      <c r="N12" s="5" t="s">
        <v>45</v>
      </c>
      <c r="O12" s="5" t="n">
        <v>2</v>
      </c>
      <c r="P12" s="5" t="n">
        <v>1</v>
      </c>
      <c r="Q12" s="5" t="n">
        <v>0</v>
      </c>
      <c r="R12" s="5" t="n">
        <v>0</v>
      </c>
      <c r="S12" s="5" t="s">
        <v>93</v>
      </c>
      <c r="T12" s="5" t="s">
        <v>94</v>
      </c>
      <c r="U12" s="5" t="s">
        <v>95</v>
      </c>
      <c r="V12" s="5" t="s">
        <v>96</v>
      </c>
    </row>
    <row r="13" customFormat="false" ht="26.25" hidden="false" customHeight="true" outlineLevel="0" collapsed="false">
      <c r="A13" s="5" t="n">
        <v>12</v>
      </c>
      <c r="B13" s="5" t="s">
        <v>97</v>
      </c>
      <c r="C13" s="5" t="s">
        <v>71</v>
      </c>
      <c r="D13" s="5" t="s">
        <v>56</v>
      </c>
      <c r="E13" s="5" t="s">
        <v>86</v>
      </c>
      <c r="F13" s="5" t="s">
        <v>40</v>
      </c>
      <c r="G13" s="5" t="s">
        <v>87</v>
      </c>
      <c r="H13" s="5" t="s">
        <v>57</v>
      </c>
      <c r="I13" s="5" t="s">
        <v>43</v>
      </c>
      <c r="J13" s="5" t="n">
        <v>10</v>
      </c>
      <c r="K13" s="5" t="n">
        <v>9</v>
      </c>
      <c r="L13" s="5" t="n">
        <v>1</v>
      </c>
      <c r="M13" s="5" t="s">
        <v>44</v>
      </c>
      <c r="N13" s="5" t="s">
        <v>45</v>
      </c>
      <c r="O13" s="5" t="n">
        <v>1</v>
      </c>
      <c r="P13" s="5" t="n">
        <v>1</v>
      </c>
      <c r="Q13" s="5" t="n">
        <v>0</v>
      </c>
      <c r="R13" s="5" t="n">
        <v>0</v>
      </c>
      <c r="S13" s="5" t="s">
        <v>98</v>
      </c>
      <c r="T13" s="5" t="s">
        <v>99</v>
      </c>
      <c r="U13" s="5" t="s">
        <v>90</v>
      </c>
      <c r="V13" s="5" t="s">
        <v>100</v>
      </c>
    </row>
    <row r="14" customFormat="false" ht="26.25" hidden="false" customHeight="true" outlineLevel="0" collapsed="false">
      <c r="A14" s="5" t="n">
        <v>13</v>
      </c>
      <c r="B14" s="5" t="s">
        <v>101</v>
      </c>
      <c r="C14" s="5" t="s">
        <v>102</v>
      </c>
      <c r="D14" s="5" t="s">
        <v>38</v>
      </c>
      <c r="E14" s="5" t="s">
        <v>103</v>
      </c>
      <c r="F14" s="5" t="s">
        <v>40</v>
      </c>
      <c r="G14" s="5" t="s">
        <v>104</v>
      </c>
      <c r="H14" s="5" t="s">
        <v>57</v>
      </c>
      <c r="I14" s="5" t="s">
        <v>78</v>
      </c>
      <c r="J14" s="5" t="n">
        <v>5</v>
      </c>
      <c r="K14" s="5" t="n">
        <v>1</v>
      </c>
      <c r="L14" s="5" t="n">
        <v>4</v>
      </c>
      <c r="M14" s="5" t="s">
        <v>44</v>
      </c>
      <c r="N14" s="5" t="s">
        <v>45</v>
      </c>
      <c r="O14" s="5" t="n">
        <v>3</v>
      </c>
      <c r="P14" s="5" t="n">
        <v>1</v>
      </c>
      <c r="Q14" s="5" t="n">
        <v>0</v>
      </c>
      <c r="R14" s="5" t="n">
        <v>0</v>
      </c>
      <c r="S14" s="5" t="s">
        <v>105</v>
      </c>
      <c r="T14" s="5" t="s">
        <v>106</v>
      </c>
      <c r="U14" s="5" t="s">
        <v>107</v>
      </c>
      <c r="V14" s="5" t="s">
        <v>108</v>
      </c>
    </row>
    <row r="15" customFormat="false" ht="26.25" hidden="false" customHeight="true" outlineLevel="0" collapsed="false">
      <c r="A15" s="5" t="n">
        <v>14</v>
      </c>
      <c r="B15" s="5" t="s">
        <v>109</v>
      </c>
      <c r="C15" s="5" t="s">
        <v>102</v>
      </c>
      <c r="D15" s="5" t="s">
        <v>51</v>
      </c>
      <c r="E15" s="5" t="s">
        <v>103</v>
      </c>
      <c r="F15" s="5" t="s">
        <v>40</v>
      </c>
      <c r="G15" s="5" t="s">
        <v>104</v>
      </c>
      <c r="H15" s="5" t="s">
        <v>42</v>
      </c>
      <c r="I15" s="5" t="s">
        <v>78</v>
      </c>
      <c r="J15" s="5" t="n">
        <v>4</v>
      </c>
      <c r="K15" s="5" t="n">
        <v>1</v>
      </c>
      <c r="L15" s="5" t="n">
        <v>3</v>
      </c>
      <c r="M15" s="5" t="s">
        <v>44</v>
      </c>
      <c r="N15" s="5" t="s">
        <v>45</v>
      </c>
      <c r="O15" s="5" t="n">
        <v>3</v>
      </c>
      <c r="P15" s="5" t="n">
        <v>1</v>
      </c>
      <c r="Q15" s="5" t="n">
        <v>0</v>
      </c>
      <c r="R15" s="5" t="n">
        <v>0</v>
      </c>
      <c r="S15" s="5" t="s">
        <v>105</v>
      </c>
      <c r="T15" s="5" t="s">
        <v>110</v>
      </c>
      <c r="U15" s="5" t="s">
        <v>107</v>
      </c>
      <c r="V15" s="5" t="s">
        <v>111</v>
      </c>
    </row>
    <row r="16" customFormat="false" ht="51.75" hidden="false" customHeight="true" outlineLevel="0" collapsed="false">
      <c r="A16" s="5" t="n">
        <v>15</v>
      </c>
      <c r="B16" s="5" t="s">
        <v>112</v>
      </c>
      <c r="C16" s="5" t="s">
        <v>102</v>
      </c>
      <c r="D16" s="5" t="s">
        <v>56</v>
      </c>
      <c r="E16" s="5" t="s">
        <v>103</v>
      </c>
      <c r="F16" s="5" t="s">
        <v>40</v>
      </c>
      <c r="G16" s="5" t="s">
        <v>104</v>
      </c>
      <c r="H16" s="5" t="s">
        <v>113</v>
      </c>
      <c r="I16" s="5" t="s">
        <v>43</v>
      </c>
      <c r="J16" s="5" t="n">
        <v>6</v>
      </c>
      <c r="K16" s="5" t="n">
        <v>2</v>
      </c>
      <c r="L16" s="5" t="n">
        <v>4</v>
      </c>
      <c r="M16" s="5" t="s">
        <v>44</v>
      </c>
      <c r="N16" s="5" t="s">
        <v>45</v>
      </c>
      <c r="O16" s="5" t="n">
        <v>3</v>
      </c>
      <c r="P16" s="5" t="n">
        <v>1</v>
      </c>
      <c r="Q16" s="5" t="n">
        <v>0</v>
      </c>
      <c r="R16" s="5" t="n">
        <v>0</v>
      </c>
      <c r="S16" s="5" t="s">
        <v>105</v>
      </c>
      <c r="T16" s="5" t="s">
        <v>114</v>
      </c>
      <c r="U16" s="5" t="s">
        <v>115</v>
      </c>
      <c r="V16" s="5" t="s">
        <v>116</v>
      </c>
    </row>
    <row r="17" customFormat="false" ht="26.25" hidden="false" customHeight="true" outlineLevel="0" collapsed="false">
      <c r="A17" s="5" t="n">
        <v>16</v>
      </c>
      <c r="B17" s="5" t="s">
        <v>117</v>
      </c>
      <c r="C17" s="5" t="s">
        <v>102</v>
      </c>
      <c r="D17" s="5" t="s">
        <v>38</v>
      </c>
      <c r="E17" s="5" t="s">
        <v>72</v>
      </c>
      <c r="F17" s="5" t="s">
        <v>40</v>
      </c>
      <c r="G17" s="5" t="s">
        <v>118</v>
      </c>
      <c r="H17" s="5" t="s">
        <v>57</v>
      </c>
      <c r="I17" s="5" t="s">
        <v>43</v>
      </c>
      <c r="J17" s="5" t="n">
        <v>2</v>
      </c>
      <c r="K17" s="5" t="n">
        <v>2</v>
      </c>
      <c r="L17" s="5" t="n">
        <v>0</v>
      </c>
      <c r="M17" s="5" t="s">
        <v>44</v>
      </c>
      <c r="N17" s="5" t="s">
        <v>45</v>
      </c>
      <c r="O17" s="5" t="n">
        <v>1</v>
      </c>
      <c r="P17" s="5" t="n">
        <v>1</v>
      </c>
      <c r="Q17" s="5" t="n">
        <v>0</v>
      </c>
      <c r="R17" s="5" t="n">
        <v>0</v>
      </c>
      <c r="S17" s="5" t="s">
        <v>119</v>
      </c>
      <c r="T17" s="5" t="s">
        <v>120</v>
      </c>
      <c r="U17" s="5" t="s">
        <v>121</v>
      </c>
      <c r="V17" s="5" t="s">
        <v>122</v>
      </c>
    </row>
    <row r="18" customFormat="false" ht="26.25" hidden="false" customHeight="true" outlineLevel="0" collapsed="false">
      <c r="A18" s="5" t="n">
        <v>17</v>
      </c>
      <c r="B18" s="5" t="s">
        <v>123</v>
      </c>
      <c r="C18" s="5" t="s">
        <v>102</v>
      </c>
      <c r="D18" s="5" t="s">
        <v>51</v>
      </c>
      <c r="E18" s="5" t="s">
        <v>72</v>
      </c>
      <c r="F18" s="5" t="s">
        <v>40</v>
      </c>
      <c r="G18" s="5" t="s">
        <v>118</v>
      </c>
      <c r="H18" s="5" t="s">
        <v>78</v>
      </c>
      <c r="I18" s="5" t="s">
        <v>78</v>
      </c>
      <c r="J18" s="5" t="n">
        <v>2</v>
      </c>
      <c r="K18" s="5" t="n">
        <v>0</v>
      </c>
      <c r="L18" s="5" t="n">
        <v>2</v>
      </c>
      <c r="M18" s="5" t="s">
        <v>124</v>
      </c>
      <c r="N18" s="5" t="s">
        <v>45</v>
      </c>
      <c r="O18" s="5" t="n">
        <v>2</v>
      </c>
      <c r="P18" s="5" t="n">
        <v>1</v>
      </c>
      <c r="Q18" s="5" t="n">
        <v>0</v>
      </c>
      <c r="R18" s="5" t="n">
        <v>0</v>
      </c>
      <c r="S18" s="5" t="s">
        <v>93</v>
      </c>
      <c r="T18" s="5" t="s">
        <v>125</v>
      </c>
      <c r="U18" s="5" t="s">
        <v>121</v>
      </c>
      <c r="V18" s="5" t="s">
        <v>126</v>
      </c>
    </row>
    <row r="19" customFormat="false" ht="26.25" hidden="false" customHeight="true" outlineLevel="0" collapsed="false">
      <c r="A19" s="5" t="n">
        <v>18</v>
      </c>
      <c r="B19" s="5" t="s">
        <v>127</v>
      </c>
      <c r="C19" s="5" t="s">
        <v>102</v>
      </c>
      <c r="D19" s="5" t="s">
        <v>56</v>
      </c>
      <c r="E19" s="5" t="s">
        <v>72</v>
      </c>
      <c r="F19" s="5" t="s">
        <v>40</v>
      </c>
      <c r="G19" s="5" t="s">
        <v>118</v>
      </c>
      <c r="H19" s="5" t="s">
        <v>57</v>
      </c>
      <c r="I19" s="5" t="s">
        <v>78</v>
      </c>
      <c r="J19" s="5" t="n">
        <v>4</v>
      </c>
      <c r="K19" s="5" t="n">
        <v>4</v>
      </c>
      <c r="L19" s="5" t="n">
        <v>0</v>
      </c>
      <c r="M19" s="5" t="s">
        <v>44</v>
      </c>
      <c r="N19" s="5" t="s">
        <v>45</v>
      </c>
      <c r="O19" s="5" t="n">
        <v>1</v>
      </c>
      <c r="P19" s="5" t="n">
        <v>1</v>
      </c>
      <c r="Q19" s="5" t="n">
        <v>0</v>
      </c>
      <c r="R19" s="5" t="n">
        <v>0</v>
      </c>
      <c r="S19" s="5" t="s">
        <v>119</v>
      </c>
      <c r="T19" s="5" t="s">
        <v>128</v>
      </c>
      <c r="U19" s="5" t="s">
        <v>90</v>
      </c>
      <c r="V19" s="5" t="s">
        <v>129</v>
      </c>
    </row>
    <row r="20" customFormat="false" ht="15" hidden="false" customHeight="true" outlineLevel="0" collapsed="false">
      <c r="A20" s="5" t="n">
        <v>19</v>
      </c>
      <c r="B20" s="5" t="s">
        <v>130</v>
      </c>
      <c r="C20" s="5" t="s">
        <v>37</v>
      </c>
      <c r="D20" s="5" t="s">
        <v>38</v>
      </c>
      <c r="E20" s="5" t="s">
        <v>131</v>
      </c>
      <c r="F20" s="5" t="s">
        <v>132</v>
      </c>
      <c r="G20" s="5" t="s">
        <v>45</v>
      </c>
      <c r="H20" s="5" t="s">
        <v>83</v>
      </c>
      <c r="I20" s="5" t="s">
        <v>43</v>
      </c>
      <c r="J20" s="5" t="n">
        <v>13</v>
      </c>
      <c r="K20" s="5" t="n">
        <v>13</v>
      </c>
      <c r="L20" s="5" t="n">
        <v>0</v>
      </c>
      <c r="M20" s="5" t="s">
        <v>44</v>
      </c>
      <c r="N20" s="5" t="s">
        <v>45</v>
      </c>
      <c r="O20" s="5" t="n">
        <v>0</v>
      </c>
      <c r="P20" s="5" t="n">
        <v>2</v>
      </c>
      <c r="Q20" s="5" t="n">
        <v>1</v>
      </c>
      <c r="R20" s="5" t="n">
        <v>0</v>
      </c>
      <c r="S20" s="5" t="s">
        <v>45</v>
      </c>
      <c r="T20" s="5" t="s">
        <v>133</v>
      </c>
      <c r="U20" s="5" t="s">
        <v>45</v>
      </c>
      <c r="V20" s="5"/>
    </row>
    <row r="21" customFormat="false" ht="15" hidden="false" customHeight="true" outlineLevel="0" collapsed="false">
      <c r="A21" s="5" t="n">
        <v>20</v>
      </c>
      <c r="B21" s="5" t="s">
        <v>134</v>
      </c>
      <c r="C21" s="5" t="s">
        <v>37</v>
      </c>
      <c r="D21" s="5" t="s">
        <v>51</v>
      </c>
      <c r="E21" s="5" t="s">
        <v>131</v>
      </c>
      <c r="F21" s="5" t="s">
        <v>132</v>
      </c>
      <c r="G21" s="5" t="s">
        <v>45</v>
      </c>
      <c r="H21" s="5" t="s">
        <v>83</v>
      </c>
      <c r="I21" s="5" t="s">
        <v>43</v>
      </c>
      <c r="J21" s="5" t="n">
        <v>7</v>
      </c>
      <c r="K21" s="5" t="n">
        <v>7</v>
      </c>
      <c r="L21" s="5" t="n">
        <v>0</v>
      </c>
      <c r="M21" s="5" t="s">
        <v>44</v>
      </c>
      <c r="N21" s="5" t="s">
        <v>45</v>
      </c>
      <c r="O21" s="5" t="n">
        <v>0</v>
      </c>
      <c r="P21" s="5" t="n">
        <v>2</v>
      </c>
      <c r="Q21" s="5" t="n">
        <v>1</v>
      </c>
      <c r="R21" s="5" t="n">
        <v>0</v>
      </c>
      <c r="S21" s="5" t="s">
        <v>45</v>
      </c>
      <c r="T21" s="5" t="s">
        <v>133</v>
      </c>
      <c r="U21" s="5" t="s">
        <v>45</v>
      </c>
      <c r="V21" s="5" t="s">
        <v>135</v>
      </c>
    </row>
    <row r="22" customFormat="false" ht="26.25" hidden="false" customHeight="true" outlineLevel="0" collapsed="false">
      <c r="A22" s="5" t="n">
        <v>21</v>
      </c>
      <c r="B22" s="5" t="s">
        <v>136</v>
      </c>
      <c r="C22" s="5" t="s">
        <v>37</v>
      </c>
      <c r="D22" s="5" t="s">
        <v>56</v>
      </c>
      <c r="E22" s="5" t="s">
        <v>131</v>
      </c>
      <c r="F22" s="5" t="s">
        <v>132</v>
      </c>
      <c r="G22" s="5" t="s">
        <v>45</v>
      </c>
      <c r="H22" s="5" t="s">
        <v>83</v>
      </c>
      <c r="I22" s="5" t="s">
        <v>43</v>
      </c>
      <c r="J22" s="5" t="n">
        <v>11</v>
      </c>
      <c r="K22" s="5" t="n">
        <v>11</v>
      </c>
      <c r="L22" s="5" t="n">
        <v>0</v>
      </c>
      <c r="M22" s="5" t="s">
        <v>44</v>
      </c>
      <c r="N22" s="5" t="s">
        <v>45</v>
      </c>
      <c r="O22" s="5" t="n">
        <v>0</v>
      </c>
      <c r="P22" s="5" t="n">
        <v>2</v>
      </c>
      <c r="Q22" s="5" t="n">
        <v>1</v>
      </c>
      <c r="R22" s="5" t="n">
        <v>0</v>
      </c>
      <c r="S22" s="5" t="s">
        <v>45</v>
      </c>
      <c r="T22" s="5" t="s">
        <v>133</v>
      </c>
      <c r="U22" s="5" t="s">
        <v>45</v>
      </c>
      <c r="V22" s="5" t="s">
        <v>135</v>
      </c>
    </row>
    <row r="23" customFormat="false" ht="26.25" hidden="false" customHeight="true" outlineLevel="0" collapsed="false">
      <c r="A23" s="5" t="n">
        <v>22</v>
      </c>
      <c r="B23" s="5" t="s">
        <v>137</v>
      </c>
      <c r="C23" s="5" t="s">
        <v>37</v>
      </c>
      <c r="D23" s="5" t="s">
        <v>38</v>
      </c>
      <c r="E23" s="5" t="s">
        <v>138</v>
      </c>
      <c r="F23" s="5" t="s">
        <v>132</v>
      </c>
      <c r="G23" s="5" t="s">
        <v>45</v>
      </c>
      <c r="H23" s="5" t="s">
        <v>83</v>
      </c>
      <c r="I23" s="5" t="s">
        <v>43</v>
      </c>
      <c r="J23" s="5" t="n">
        <v>13</v>
      </c>
      <c r="K23" s="5" t="n">
        <v>13</v>
      </c>
      <c r="L23" s="5" t="n">
        <v>0</v>
      </c>
      <c r="M23" s="5" t="s">
        <v>44</v>
      </c>
      <c r="N23" s="5" t="s">
        <v>45</v>
      </c>
      <c r="O23" s="5" t="n">
        <v>1</v>
      </c>
      <c r="P23" s="5" t="n">
        <v>1</v>
      </c>
      <c r="Q23" s="5" t="n">
        <v>0</v>
      </c>
      <c r="R23" s="5" t="n">
        <v>0</v>
      </c>
      <c r="S23" s="5" t="s">
        <v>119</v>
      </c>
      <c r="T23" s="5" t="s">
        <v>139</v>
      </c>
      <c r="U23" s="5" t="s">
        <v>45</v>
      </c>
      <c r="V23" s="5"/>
    </row>
    <row r="24" customFormat="false" ht="26.25" hidden="false" customHeight="true" outlineLevel="0" collapsed="false">
      <c r="A24" s="5" t="n">
        <v>23</v>
      </c>
      <c r="B24" s="5" t="s">
        <v>140</v>
      </c>
      <c r="C24" s="5" t="s">
        <v>37</v>
      </c>
      <c r="D24" s="5" t="s">
        <v>51</v>
      </c>
      <c r="E24" s="5" t="s">
        <v>138</v>
      </c>
      <c r="F24" s="5" t="s">
        <v>132</v>
      </c>
      <c r="G24" s="5" t="s">
        <v>45</v>
      </c>
      <c r="H24" s="5" t="s">
        <v>83</v>
      </c>
      <c r="I24" s="5" t="s">
        <v>43</v>
      </c>
      <c r="J24" s="5" t="n">
        <v>6</v>
      </c>
      <c r="K24" s="5" t="n">
        <v>6</v>
      </c>
      <c r="L24" s="5" t="n">
        <v>0</v>
      </c>
      <c r="M24" s="5" t="s">
        <v>44</v>
      </c>
      <c r="N24" s="5" t="s">
        <v>45</v>
      </c>
      <c r="O24" s="5" t="n">
        <v>0</v>
      </c>
      <c r="P24" s="5" t="n">
        <v>1</v>
      </c>
      <c r="Q24" s="5" t="n">
        <v>0</v>
      </c>
      <c r="R24" s="5" t="n">
        <v>0</v>
      </c>
      <c r="S24" s="5" t="s">
        <v>45</v>
      </c>
      <c r="T24" s="5" t="s">
        <v>133</v>
      </c>
      <c r="U24" s="5" t="s">
        <v>45</v>
      </c>
      <c r="V24" s="5"/>
    </row>
    <row r="25" customFormat="false" ht="26.25" hidden="false" customHeight="true" outlineLevel="0" collapsed="false">
      <c r="A25" s="5" t="n">
        <v>24</v>
      </c>
      <c r="B25" s="5" t="s">
        <v>141</v>
      </c>
      <c r="C25" s="5" t="s">
        <v>37</v>
      </c>
      <c r="D25" s="5" t="s">
        <v>56</v>
      </c>
      <c r="E25" s="5" t="s">
        <v>138</v>
      </c>
      <c r="F25" s="5" t="s">
        <v>132</v>
      </c>
      <c r="G25" s="5" t="s">
        <v>45</v>
      </c>
      <c r="H25" s="5" t="s">
        <v>83</v>
      </c>
      <c r="I25" s="5" t="s">
        <v>43</v>
      </c>
      <c r="J25" s="5" t="n">
        <v>13</v>
      </c>
      <c r="K25" s="5" t="n">
        <v>13</v>
      </c>
      <c r="L25" s="5" t="n">
        <v>0</v>
      </c>
      <c r="M25" s="5" t="s">
        <v>44</v>
      </c>
      <c r="N25" s="5" t="s">
        <v>45</v>
      </c>
      <c r="O25" s="5" t="n">
        <v>1</v>
      </c>
      <c r="P25" s="5" t="n">
        <v>1</v>
      </c>
      <c r="Q25" s="5" t="n">
        <v>0</v>
      </c>
      <c r="R25" s="5" t="n">
        <v>0</v>
      </c>
      <c r="S25" s="5" t="s">
        <v>119</v>
      </c>
      <c r="T25" s="5" t="s">
        <v>142</v>
      </c>
      <c r="U25" s="5" t="s">
        <v>45</v>
      </c>
      <c r="V25" s="5"/>
    </row>
    <row r="26" customFormat="false" ht="15" hidden="false" customHeight="true" outlineLevel="0" collapsed="false">
      <c r="A26" s="5" t="n">
        <v>25</v>
      </c>
      <c r="B26" s="5" t="s">
        <v>143</v>
      </c>
      <c r="C26" s="5" t="s">
        <v>37</v>
      </c>
      <c r="D26" s="5" t="s">
        <v>38</v>
      </c>
      <c r="E26" s="5" t="s">
        <v>144</v>
      </c>
      <c r="F26" s="5" t="s">
        <v>132</v>
      </c>
      <c r="G26" s="5" t="s">
        <v>45</v>
      </c>
      <c r="H26" s="5" t="s">
        <v>83</v>
      </c>
      <c r="I26" s="5" t="s">
        <v>43</v>
      </c>
      <c r="J26" s="5" t="n">
        <v>12</v>
      </c>
      <c r="K26" s="5" t="n">
        <v>12</v>
      </c>
      <c r="L26" s="5" t="n">
        <v>0</v>
      </c>
      <c r="M26" s="5" t="s">
        <v>44</v>
      </c>
      <c r="N26" s="5" t="s">
        <v>45</v>
      </c>
      <c r="O26" s="5" t="n">
        <v>0</v>
      </c>
      <c r="P26" s="5" t="n">
        <v>1</v>
      </c>
      <c r="Q26" s="5" t="n">
        <v>0</v>
      </c>
      <c r="R26" s="5" t="n">
        <v>0</v>
      </c>
      <c r="S26" s="5" t="s">
        <v>45</v>
      </c>
      <c r="T26" s="5" t="s">
        <v>133</v>
      </c>
      <c r="U26" s="5" t="s">
        <v>45</v>
      </c>
      <c r="V26" s="5"/>
    </row>
    <row r="27" customFormat="false" ht="15" hidden="false" customHeight="true" outlineLevel="0" collapsed="false">
      <c r="A27" s="5" t="n">
        <v>26</v>
      </c>
      <c r="B27" s="5" t="s">
        <v>145</v>
      </c>
      <c r="C27" s="5" t="s">
        <v>37</v>
      </c>
      <c r="D27" s="5" t="s">
        <v>51</v>
      </c>
      <c r="E27" s="5" t="s">
        <v>144</v>
      </c>
      <c r="F27" s="5" t="s">
        <v>132</v>
      </c>
      <c r="G27" s="5" t="s">
        <v>45</v>
      </c>
      <c r="H27" s="5" t="s">
        <v>83</v>
      </c>
      <c r="I27" s="5" t="s">
        <v>43</v>
      </c>
      <c r="J27" s="5" t="n">
        <v>8</v>
      </c>
      <c r="K27" s="5" t="n">
        <v>8</v>
      </c>
      <c r="L27" s="5" t="n">
        <v>0</v>
      </c>
      <c r="M27" s="5" t="s">
        <v>44</v>
      </c>
      <c r="N27" s="5" t="s">
        <v>45</v>
      </c>
      <c r="O27" s="5" t="n">
        <v>0</v>
      </c>
      <c r="P27" s="5" t="n">
        <v>1</v>
      </c>
      <c r="Q27" s="5" t="n">
        <v>0</v>
      </c>
      <c r="R27" s="5" t="n">
        <v>0</v>
      </c>
      <c r="S27" s="5" t="s">
        <v>45</v>
      </c>
      <c r="T27" s="5" t="s">
        <v>133</v>
      </c>
      <c r="U27" s="5" t="s">
        <v>45</v>
      </c>
      <c r="V27" s="5" t="s">
        <v>135</v>
      </c>
    </row>
    <row r="28" customFormat="false" ht="15" hidden="false" customHeight="true" outlineLevel="0" collapsed="false">
      <c r="A28" s="5" t="n">
        <v>27</v>
      </c>
      <c r="B28" s="5" t="s">
        <v>146</v>
      </c>
      <c r="C28" s="5" t="s">
        <v>37</v>
      </c>
      <c r="D28" s="5" t="s">
        <v>56</v>
      </c>
      <c r="E28" s="5" t="s">
        <v>144</v>
      </c>
      <c r="F28" s="5" t="s">
        <v>132</v>
      </c>
      <c r="G28" s="5" t="s">
        <v>45</v>
      </c>
      <c r="H28" s="5" t="s">
        <v>83</v>
      </c>
      <c r="I28" s="5" t="s">
        <v>43</v>
      </c>
      <c r="J28" s="5" t="n">
        <v>12</v>
      </c>
      <c r="K28" s="5" t="n">
        <v>12</v>
      </c>
      <c r="L28" s="5" t="n">
        <v>0</v>
      </c>
      <c r="M28" s="5" t="s">
        <v>44</v>
      </c>
      <c r="N28" s="5" t="s">
        <v>45</v>
      </c>
      <c r="O28" s="5" t="n">
        <v>0</v>
      </c>
      <c r="P28" s="5" t="n">
        <v>2</v>
      </c>
      <c r="Q28" s="5" t="n">
        <v>0</v>
      </c>
      <c r="R28" s="5" t="n">
        <v>1</v>
      </c>
      <c r="S28" s="5" t="s">
        <v>45</v>
      </c>
      <c r="T28" s="5" t="s">
        <v>133</v>
      </c>
      <c r="U28" s="5" t="s">
        <v>45</v>
      </c>
      <c r="V28" s="5" t="s">
        <v>147</v>
      </c>
    </row>
    <row r="29" customFormat="false" ht="15" hidden="false" customHeight="true" outlineLevel="0" collapsed="false">
      <c r="A29" s="5" t="n">
        <v>28</v>
      </c>
      <c r="B29" s="5" t="s">
        <v>148</v>
      </c>
      <c r="C29" s="5" t="s">
        <v>37</v>
      </c>
      <c r="D29" s="5" t="s">
        <v>38</v>
      </c>
      <c r="E29" s="5" t="s">
        <v>149</v>
      </c>
      <c r="F29" s="5" t="s">
        <v>132</v>
      </c>
      <c r="G29" s="5" t="s">
        <v>45</v>
      </c>
      <c r="H29" s="5" t="s">
        <v>83</v>
      </c>
      <c r="I29" s="5" t="s">
        <v>43</v>
      </c>
      <c r="J29" s="5" t="n">
        <v>26</v>
      </c>
      <c r="K29" s="5" t="n">
        <v>26</v>
      </c>
      <c r="L29" s="5" t="n">
        <v>0</v>
      </c>
      <c r="M29" s="5" t="s">
        <v>44</v>
      </c>
      <c r="N29" s="5" t="s">
        <v>45</v>
      </c>
      <c r="O29" s="5" t="n">
        <v>0</v>
      </c>
      <c r="P29" s="5" t="n">
        <v>2</v>
      </c>
      <c r="Q29" s="5" t="n">
        <v>1</v>
      </c>
      <c r="R29" s="5" t="n">
        <v>0</v>
      </c>
      <c r="S29" s="5" t="s">
        <v>45</v>
      </c>
      <c r="T29" s="5" t="s">
        <v>133</v>
      </c>
      <c r="U29" s="5" t="s">
        <v>45</v>
      </c>
      <c r="V29" s="5"/>
    </row>
    <row r="30" customFormat="false" ht="15" hidden="false" customHeight="true" outlineLevel="0" collapsed="false">
      <c r="A30" s="5" t="n">
        <v>29</v>
      </c>
      <c r="B30" s="5" t="s">
        <v>150</v>
      </c>
      <c r="C30" s="5" t="s">
        <v>37</v>
      </c>
      <c r="D30" s="5" t="s">
        <v>51</v>
      </c>
      <c r="E30" s="5" t="s">
        <v>149</v>
      </c>
      <c r="F30" s="5" t="s">
        <v>132</v>
      </c>
      <c r="G30" s="5" t="s">
        <v>45</v>
      </c>
      <c r="H30" s="5" t="s">
        <v>83</v>
      </c>
      <c r="I30" s="5" t="s">
        <v>43</v>
      </c>
      <c r="J30" s="5" t="n">
        <v>8</v>
      </c>
      <c r="K30" s="5" t="n">
        <v>8</v>
      </c>
      <c r="L30" s="5" t="n">
        <v>0</v>
      </c>
      <c r="M30" s="5" t="s">
        <v>44</v>
      </c>
      <c r="N30" s="5" t="s">
        <v>45</v>
      </c>
      <c r="O30" s="5" t="n">
        <v>0</v>
      </c>
      <c r="P30" s="5" t="n">
        <v>1</v>
      </c>
      <c r="Q30" s="5" t="n">
        <v>0</v>
      </c>
      <c r="R30" s="5" t="n">
        <v>0</v>
      </c>
      <c r="S30" s="5" t="s">
        <v>45</v>
      </c>
      <c r="T30" s="5" t="s">
        <v>133</v>
      </c>
      <c r="U30" s="5" t="s">
        <v>45</v>
      </c>
      <c r="V30" s="5"/>
    </row>
    <row r="31" customFormat="false" ht="26.25" hidden="false" customHeight="true" outlineLevel="0" collapsed="false">
      <c r="A31" s="5" t="n">
        <v>30</v>
      </c>
      <c r="B31" s="5" t="s">
        <v>151</v>
      </c>
      <c r="C31" s="5" t="s">
        <v>37</v>
      </c>
      <c r="D31" s="5" t="s">
        <v>56</v>
      </c>
      <c r="E31" s="5" t="s">
        <v>149</v>
      </c>
      <c r="F31" s="5" t="s">
        <v>132</v>
      </c>
      <c r="G31" s="5" t="s">
        <v>45</v>
      </c>
      <c r="H31" s="5" t="s">
        <v>83</v>
      </c>
      <c r="I31" s="5" t="s">
        <v>43</v>
      </c>
      <c r="J31" s="5" t="n">
        <v>15</v>
      </c>
      <c r="K31" s="5" t="n">
        <v>15</v>
      </c>
      <c r="L31" s="5" t="n">
        <v>0</v>
      </c>
      <c r="M31" s="5" t="s">
        <v>44</v>
      </c>
      <c r="N31" s="5" t="s">
        <v>45</v>
      </c>
      <c r="O31" s="5" t="n">
        <v>0</v>
      </c>
      <c r="P31" s="5" t="n">
        <v>2</v>
      </c>
      <c r="Q31" s="5" t="n">
        <v>1</v>
      </c>
      <c r="R31" s="5" t="n">
        <v>0</v>
      </c>
      <c r="S31" s="5" t="s">
        <v>45</v>
      </c>
      <c r="T31" s="5" t="s">
        <v>133</v>
      </c>
      <c r="U31" s="5" t="s">
        <v>45</v>
      </c>
      <c r="V31" s="5"/>
    </row>
    <row r="32" customFormat="false" ht="26.25" hidden="false" customHeight="true" outlineLevel="0" collapsed="false">
      <c r="A32" s="5" t="n">
        <v>31</v>
      </c>
      <c r="B32" s="5" t="s">
        <v>152</v>
      </c>
      <c r="C32" s="5" t="s">
        <v>37</v>
      </c>
      <c r="D32" s="5" t="s">
        <v>38</v>
      </c>
      <c r="E32" s="5" t="s">
        <v>153</v>
      </c>
      <c r="F32" s="5" t="s">
        <v>132</v>
      </c>
      <c r="G32" s="5" t="s">
        <v>45</v>
      </c>
      <c r="H32" s="5" t="s">
        <v>83</v>
      </c>
      <c r="I32" s="5" t="s">
        <v>43</v>
      </c>
      <c r="J32" s="5" t="n">
        <v>11</v>
      </c>
      <c r="K32" s="5" t="n">
        <v>11</v>
      </c>
      <c r="L32" s="5" t="n">
        <v>0</v>
      </c>
      <c r="M32" s="5" t="s">
        <v>44</v>
      </c>
      <c r="N32" s="5" t="s">
        <v>45</v>
      </c>
      <c r="O32" s="5" t="n">
        <v>0</v>
      </c>
      <c r="P32" s="5" t="n">
        <v>1</v>
      </c>
      <c r="Q32" s="5" t="n">
        <v>0</v>
      </c>
      <c r="R32" s="5" t="n">
        <v>0</v>
      </c>
      <c r="S32" s="5" t="s">
        <v>45</v>
      </c>
      <c r="T32" s="5" t="s">
        <v>133</v>
      </c>
      <c r="U32" s="5" t="s">
        <v>45</v>
      </c>
      <c r="V32" s="5" t="s">
        <v>135</v>
      </c>
    </row>
    <row r="33" customFormat="false" ht="26.25" hidden="false" customHeight="true" outlineLevel="0" collapsed="false">
      <c r="A33" s="5" t="n">
        <v>32</v>
      </c>
      <c r="B33" s="5" t="s">
        <v>154</v>
      </c>
      <c r="C33" s="5" t="s">
        <v>37</v>
      </c>
      <c r="D33" s="5" t="s">
        <v>51</v>
      </c>
      <c r="E33" s="5" t="s">
        <v>153</v>
      </c>
      <c r="F33" s="5" t="s">
        <v>132</v>
      </c>
      <c r="G33" s="5" t="s">
        <v>45</v>
      </c>
      <c r="H33" s="5" t="s">
        <v>83</v>
      </c>
      <c r="I33" s="5" t="s">
        <v>43</v>
      </c>
      <c r="J33" s="5" t="n">
        <v>8</v>
      </c>
      <c r="K33" s="5" t="n">
        <v>8</v>
      </c>
      <c r="L33" s="5" t="n">
        <v>0</v>
      </c>
      <c r="M33" s="5" t="s">
        <v>44</v>
      </c>
      <c r="N33" s="5" t="s">
        <v>45</v>
      </c>
      <c r="O33" s="5" t="n">
        <v>0</v>
      </c>
      <c r="P33" s="5" t="n">
        <v>1</v>
      </c>
      <c r="Q33" s="5" t="n">
        <v>0</v>
      </c>
      <c r="R33" s="5" t="n">
        <v>0</v>
      </c>
      <c r="S33" s="5" t="s">
        <v>45</v>
      </c>
      <c r="T33" s="5" t="s">
        <v>133</v>
      </c>
      <c r="U33" s="5" t="s">
        <v>45</v>
      </c>
      <c r="V33" s="5" t="s">
        <v>135</v>
      </c>
    </row>
    <row r="34" customFormat="false" ht="26.25" hidden="false" customHeight="true" outlineLevel="0" collapsed="false">
      <c r="A34" s="5" t="n">
        <v>33</v>
      </c>
      <c r="B34" s="5" t="s">
        <v>155</v>
      </c>
      <c r="C34" s="5" t="s">
        <v>37</v>
      </c>
      <c r="D34" s="5" t="s">
        <v>56</v>
      </c>
      <c r="E34" s="5" t="s">
        <v>153</v>
      </c>
      <c r="F34" s="5" t="s">
        <v>132</v>
      </c>
      <c r="G34" s="5" t="s">
        <v>45</v>
      </c>
      <c r="H34" s="5" t="s">
        <v>83</v>
      </c>
      <c r="I34" s="5" t="s">
        <v>43</v>
      </c>
      <c r="J34" s="5" t="n">
        <v>11</v>
      </c>
      <c r="K34" s="5" t="n">
        <v>11</v>
      </c>
      <c r="L34" s="5" t="n">
        <v>0</v>
      </c>
      <c r="M34" s="5" t="s">
        <v>44</v>
      </c>
      <c r="N34" s="5" t="s">
        <v>45</v>
      </c>
      <c r="O34" s="5" t="n">
        <v>0</v>
      </c>
      <c r="P34" s="5" t="n">
        <v>1</v>
      </c>
      <c r="Q34" s="5" t="n">
        <v>0</v>
      </c>
      <c r="R34" s="5" t="n">
        <v>0</v>
      </c>
      <c r="S34" s="5" t="s">
        <v>45</v>
      </c>
      <c r="T34" s="5" t="s">
        <v>156</v>
      </c>
      <c r="U34" s="5" t="s">
        <v>45</v>
      </c>
      <c r="V34" s="5"/>
    </row>
    <row r="35" customFormat="false" ht="26.25" hidden="false" customHeight="true" outlineLevel="0" collapsed="false">
      <c r="A35" s="5" t="n">
        <v>34</v>
      </c>
      <c r="B35" s="5" t="s">
        <v>157</v>
      </c>
      <c r="C35" s="5" t="s">
        <v>37</v>
      </c>
      <c r="D35" s="5" t="s">
        <v>38</v>
      </c>
      <c r="E35" s="5" t="s">
        <v>158</v>
      </c>
      <c r="F35" s="5" t="s">
        <v>132</v>
      </c>
      <c r="G35" s="5" t="s">
        <v>45</v>
      </c>
      <c r="H35" s="5" t="s">
        <v>83</v>
      </c>
      <c r="I35" s="5" t="s">
        <v>43</v>
      </c>
      <c r="J35" s="5" t="n">
        <v>16</v>
      </c>
      <c r="K35" s="5" t="n">
        <v>16</v>
      </c>
      <c r="L35" s="5" t="n">
        <v>0</v>
      </c>
      <c r="M35" s="5" t="s">
        <v>44</v>
      </c>
      <c r="N35" s="5" t="s">
        <v>45</v>
      </c>
      <c r="O35" s="5" t="n">
        <v>0</v>
      </c>
      <c r="P35" s="5" t="n">
        <v>1</v>
      </c>
      <c r="Q35" s="5" t="n">
        <v>0</v>
      </c>
      <c r="R35" s="5" t="n">
        <v>0</v>
      </c>
      <c r="S35" s="5" t="s">
        <v>45</v>
      </c>
      <c r="T35" s="5" t="s">
        <v>133</v>
      </c>
      <c r="U35" s="5" t="s">
        <v>45</v>
      </c>
      <c r="V35" s="5"/>
    </row>
    <row r="36" customFormat="false" ht="26.25" hidden="false" customHeight="true" outlineLevel="0" collapsed="false">
      <c r="A36" s="5" t="n">
        <v>35</v>
      </c>
      <c r="B36" s="5" t="s">
        <v>159</v>
      </c>
      <c r="C36" s="5" t="s">
        <v>37</v>
      </c>
      <c r="D36" s="5" t="s">
        <v>51</v>
      </c>
      <c r="E36" s="5" t="s">
        <v>158</v>
      </c>
      <c r="F36" s="5" t="s">
        <v>132</v>
      </c>
      <c r="G36" s="5" t="s">
        <v>45</v>
      </c>
      <c r="H36" s="5" t="s">
        <v>83</v>
      </c>
      <c r="I36" s="5" t="s">
        <v>43</v>
      </c>
      <c r="J36" s="5" t="n">
        <v>7</v>
      </c>
      <c r="K36" s="5" t="n">
        <v>7</v>
      </c>
      <c r="L36" s="5" t="n">
        <v>0</v>
      </c>
      <c r="M36" s="5" t="s">
        <v>44</v>
      </c>
      <c r="N36" s="5" t="s">
        <v>45</v>
      </c>
      <c r="O36" s="5" t="n">
        <v>0</v>
      </c>
      <c r="P36" s="5" t="n">
        <v>2</v>
      </c>
      <c r="Q36" s="5" t="n">
        <v>1</v>
      </c>
      <c r="R36" s="5" t="n">
        <v>0</v>
      </c>
      <c r="S36" s="5" t="s">
        <v>45</v>
      </c>
      <c r="T36" s="5" t="s">
        <v>133</v>
      </c>
      <c r="U36" s="5" t="s">
        <v>45</v>
      </c>
      <c r="V36" s="5"/>
    </row>
    <row r="37" customFormat="false" ht="26.25" hidden="false" customHeight="true" outlineLevel="0" collapsed="false">
      <c r="A37" s="5" t="n">
        <v>36</v>
      </c>
      <c r="B37" s="5" t="s">
        <v>160</v>
      </c>
      <c r="C37" s="5" t="s">
        <v>37</v>
      </c>
      <c r="D37" s="5" t="s">
        <v>56</v>
      </c>
      <c r="E37" s="5" t="s">
        <v>158</v>
      </c>
      <c r="F37" s="5" t="s">
        <v>132</v>
      </c>
      <c r="G37" s="5" t="s">
        <v>45</v>
      </c>
      <c r="H37" s="5" t="s">
        <v>83</v>
      </c>
      <c r="I37" s="5" t="s">
        <v>43</v>
      </c>
      <c r="J37" s="5" t="n">
        <v>16</v>
      </c>
      <c r="K37" s="5" t="n">
        <v>16</v>
      </c>
      <c r="L37" s="5" t="n">
        <v>0</v>
      </c>
      <c r="M37" s="5" t="s">
        <v>44</v>
      </c>
      <c r="N37" s="5" t="s">
        <v>45</v>
      </c>
      <c r="O37" s="5" t="n">
        <v>0</v>
      </c>
      <c r="P37" s="5" t="n">
        <v>1</v>
      </c>
      <c r="Q37" s="5" t="n">
        <v>0</v>
      </c>
      <c r="R37" s="5" t="n">
        <v>0</v>
      </c>
      <c r="S37" s="5" t="s">
        <v>45</v>
      </c>
      <c r="T37" s="5" t="s">
        <v>133</v>
      </c>
      <c r="U37" s="5" t="s">
        <v>45</v>
      </c>
      <c r="V37" s="5"/>
    </row>
    <row r="38" customFormat="false" ht="26.25" hidden="false" customHeight="true" outlineLevel="0" collapsed="false">
      <c r="A38" s="5" t="n">
        <v>37</v>
      </c>
      <c r="B38" s="5" t="s">
        <v>161</v>
      </c>
      <c r="C38" s="5" t="s">
        <v>37</v>
      </c>
      <c r="D38" s="5" t="s">
        <v>38</v>
      </c>
      <c r="E38" s="5" t="s">
        <v>162</v>
      </c>
      <c r="F38" s="5" t="s">
        <v>163</v>
      </c>
      <c r="G38" s="5" t="s">
        <v>45</v>
      </c>
      <c r="H38" s="5" t="s">
        <v>83</v>
      </c>
      <c r="I38" s="5" t="s">
        <v>43</v>
      </c>
      <c r="J38" s="5" t="n">
        <v>10</v>
      </c>
      <c r="K38" s="5" t="n">
        <v>10</v>
      </c>
      <c r="L38" s="5" t="n">
        <v>0</v>
      </c>
      <c r="M38" s="5" t="s">
        <v>44</v>
      </c>
      <c r="N38" s="5" t="s">
        <v>45</v>
      </c>
      <c r="O38" s="5" t="n">
        <v>0</v>
      </c>
      <c r="P38" s="5" t="n">
        <v>3</v>
      </c>
      <c r="Q38" s="5" t="n">
        <v>2</v>
      </c>
      <c r="R38" s="5" t="n">
        <v>0</v>
      </c>
      <c r="S38" s="5" t="s">
        <v>45</v>
      </c>
      <c r="T38" s="5" t="s">
        <v>133</v>
      </c>
      <c r="U38" s="5" t="s">
        <v>45</v>
      </c>
      <c r="V38" s="5" t="s">
        <v>164</v>
      </c>
    </row>
    <row r="39" customFormat="false" ht="26.25" hidden="false" customHeight="true" outlineLevel="0" collapsed="false">
      <c r="A39" s="5" t="n">
        <v>38</v>
      </c>
      <c r="B39" s="5" t="s">
        <v>165</v>
      </c>
      <c r="C39" s="5" t="s">
        <v>37</v>
      </c>
      <c r="D39" s="5" t="s">
        <v>51</v>
      </c>
      <c r="E39" s="5" t="s">
        <v>162</v>
      </c>
      <c r="F39" s="5" t="s">
        <v>163</v>
      </c>
      <c r="G39" s="5" t="s">
        <v>45</v>
      </c>
      <c r="H39" s="5" t="s">
        <v>83</v>
      </c>
      <c r="I39" s="5" t="s">
        <v>43</v>
      </c>
      <c r="J39" s="5" t="n">
        <v>5</v>
      </c>
      <c r="K39" s="5" t="n">
        <v>5</v>
      </c>
      <c r="L39" s="5" t="n">
        <v>0</v>
      </c>
      <c r="M39" s="5" t="s">
        <v>44</v>
      </c>
      <c r="N39" s="5" t="s">
        <v>45</v>
      </c>
      <c r="O39" s="5" t="n">
        <v>0</v>
      </c>
      <c r="P39" s="5" t="n">
        <v>1</v>
      </c>
      <c r="Q39" s="5" t="n">
        <v>0</v>
      </c>
      <c r="R39" s="5" t="n">
        <v>0</v>
      </c>
      <c r="S39" s="5" t="s">
        <v>45</v>
      </c>
      <c r="T39" s="5" t="s">
        <v>133</v>
      </c>
      <c r="U39" s="5" t="s">
        <v>45</v>
      </c>
      <c r="V39" s="5" t="s">
        <v>166</v>
      </c>
    </row>
    <row r="40" customFormat="false" ht="26.25" hidden="false" customHeight="true" outlineLevel="0" collapsed="false">
      <c r="A40" s="5" t="n">
        <v>39</v>
      </c>
      <c r="B40" s="5" t="s">
        <v>167</v>
      </c>
      <c r="C40" s="5" t="s">
        <v>37</v>
      </c>
      <c r="D40" s="5" t="s">
        <v>56</v>
      </c>
      <c r="E40" s="5" t="s">
        <v>162</v>
      </c>
      <c r="F40" s="5" t="s">
        <v>163</v>
      </c>
      <c r="G40" s="5" t="s">
        <v>45</v>
      </c>
      <c r="H40" s="5" t="s">
        <v>83</v>
      </c>
      <c r="I40" s="5" t="s">
        <v>43</v>
      </c>
      <c r="J40" s="5" t="n">
        <v>9</v>
      </c>
      <c r="K40" s="5" t="n">
        <v>9</v>
      </c>
      <c r="L40" s="5" t="n">
        <v>0</v>
      </c>
      <c r="M40" s="5" t="s">
        <v>44</v>
      </c>
      <c r="N40" s="5" t="s">
        <v>45</v>
      </c>
      <c r="O40" s="5" t="n">
        <v>0</v>
      </c>
      <c r="P40" s="5" t="n">
        <v>1</v>
      </c>
      <c r="Q40" s="5" t="n">
        <v>0</v>
      </c>
      <c r="R40" s="5" t="n">
        <v>0</v>
      </c>
      <c r="S40" s="5" t="s">
        <v>45</v>
      </c>
      <c r="T40" s="5" t="s">
        <v>133</v>
      </c>
      <c r="U40" s="5" t="s">
        <v>45</v>
      </c>
      <c r="V40" s="5" t="s">
        <v>168</v>
      </c>
    </row>
    <row r="41" customFormat="false" ht="15" hidden="false" customHeight="true" outlineLevel="0" collapsed="false">
      <c r="A41" s="5" t="n">
        <v>40</v>
      </c>
      <c r="B41" s="5" t="s">
        <v>169</v>
      </c>
      <c r="C41" s="5" t="s">
        <v>37</v>
      </c>
      <c r="D41" s="5" t="s">
        <v>38</v>
      </c>
      <c r="E41" s="5" t="s">
        <v>170</v>
      </c>
      <c r="F41" s="5" t="s">
        <v>132</v>
      </c>
      <c r="G41" s="5" t="s">
        <v>45</v>
      </c>
      <c r="H41" s="5" t="s">
        <v>83</v>
      </c>
      <c r="I41" s="5" t="s">
        <v>43</v>
      </c>
      <c r="J41" s="5" t="n">
        <v>23</v>
      </c>
      <c r="K41" s="5" t="n">
        <v>23</v>
      </c>
      <c r="L41" s="5" t="n">
        <v>0</v>
      </c>
      <c r="M41" s="5" t="s">
        <v>44</v>
      </c>
      <c r="N41" s="5" t="s">
        <v>45</v>
      </c>
      <c r="O41" s="5" t="n">
        <v>0</v>
      </c>
      <c r="P41" s="5" t="n">
        <v>3</v>
      </c>
      <c r="Q41" s="5" t="n">
        <v>2</v>
      </c>
      <c r="R41" s="5" t="n">
        <v>0</v>
      </c>
      <c r="S41" s="5" t="s">
        <v>45</v>
      </c>
      <c r="T41" s="5" t="s">
        <v>133</v>
      </c>
      <c r="U41" s="5" t="s">
        <v>45</v>
      </c>
      <c r="V41" s="5"/>
    </row>
    <row r="42" customFormat="false" ht="15" hidden="false" customHeight="true" outlineLevel="0" collapsed="false">
      <c r="A42" s="5" t="n">
        <v>41</v>
      </c>
      <c r="B42" s="5" t="s">
        <v>171</v>
      </c>
      <c r="C42" s="5" t="s">
        <v>37</v>
      </c>
      <c r="D42" s="5" t="s">
        <v>51</v>
      </c>
      <c r="E42" s="5" t="s">
        <v>170</v>
      </c>
      <c r="F42" s="5" t="s">
        <v>132</v>
      </c>
      <c r="G42" s="5" t="s">
        <v>45</v>
      </c>
      <c r="H42" s="5" t="s">
        <v>83</v>
      </c>
      <c r="I42" s="5" t="s">
        <v>43</v>
      </c>
      <c r="J42" s="5" t="n">
        <v>9</v>
      </c>
      <c r="K42" s="5" t="n">
        <v>9</v>
      </c>
      <c r="L42" s="5" t="n">
        <v>0</v>
      </c>
      <c r="M42" s="5" t="s">
        <v>44</v>
      </c>
      <c r="N42" s="5" t="s">
        <v>45</v>
      </c>
      <c r="O42" s="5" t="n">
        <v>0</v>
      </c>
      <c r="P42" s="5" t="n">
        <v>1</v>
      </c>
      <c r="Q42" s="5" t="n">
        <v>0</v>
      </c>
      <c r="R42" s="5" t="n">
        <v>0</v>
      </c>
      <c r="S42" s="5" t="s">
        <v>45</v>
      </c>
      <c r="T42" s="5" t="s">
        <v>172</v>
      </c>
      <c r="U42" s="5" t="s">
        <v>45</v>
      </c>
      <c r="V42" s="5"/>
    </row>
    <row r="43" customFormat="false" ht="15" hidden="false" customHeight="true" outlineLevel="0" collapsed="false">
      <c r="A43" s="5" t="n">
        <v>42</v>
      </c>
      <c r="B43" s="5" t="s">
        <v>173</v>
      </c>
      <c r="C43" s="5" t="s">
        <v>37</v>
      </c>
      <c r="D43" s="5" t="s">
        <v>56</v>
      </c>
      <c r="E43" s="5" t="s">
        <v>170</v>
      </c>
      <c r="F43" s="5" t="s">
        <v>132</v>
      </c>
      <c r="G43" s="5" t="s">
        <v>45</v>
      </c>
      <c r="H43" s="5" t="s">
        <v>83</v>
      </c>
      <c r="I43" s="5" t="s">
        <v>43</v>
      </c>
      <c r="J43" s="5" t="n">
        <v>19</v>
      </c>
      <c r="K43" s="5" t="n">
        <v>19</v>
      </c>
      <c r="L43" s="5" t="n">
        <v>0</v>
      </c>
      <c r="M43" s="5" t="s">
        <v>44</v>
      </c>
      <c r="N43" s="5" t="s">
        <v>45</v>
      </c>
      <c r="O43" s="5" t="n">
        <v>0</v>
      </c>
      <c r="P43" s="5" t="n">
        <v>3</v>
      </c>
      <c r="Q43" s="5" t="n">
        <v>2</v>
      </c>
      <c r="R43" s="5" t="n">
        <v>0</v>
      </c>
      <c r="S43" s="5" t="s">
        <v>45</v>
      </c>
      <c r="T43" s="5" t="s">
        <v>133</v>
      </c>
      <c r="U43" s="5" t="s">
        <v>45</v>
      </c>
      <c r="V43" s="5"/>
    </row>
    <row r="44" customFormat="false" ht="26.25" hidden="false" customHeight="true" outlineLevel="0" collapsed="false">
      <c r="A44" s="5" t="n">
        <v>43</v>
      </c>
      <c r="B44" s="5" t="s">
        <v>174</v>
      </c>
      <c r="C44" s="5" t="s">
        <v>71</v>
      </c>
      <c r="D44" s="5" t="s">
        <v>38</v>
      </c>
      <c r="E44" s="5" t="s">
        <v>175</v>
      </c>
      <c r="F44" s="5" t="s">
        <v>132</v>
      </c>
      <c r="G44" s="5" t="s">
        <v>45</v>
      </c>
      <c r="H44" s="5" t="s">
        <v>78</v>
      </c>
      <c r="I44" s="5" t="s">
        <v>43</v>
      </c>
      <c r="J44" s="5" t="n">
        <v>6</v>
      </c>
      <c r="K44" s="5" t="n">
        <v>6</v>
      </c>
      <c r="L44" s="5" t="n">
        <v>0</v>
      </c>
      <c r="M44" s="5" t="s">
        <v>44</v>
      </c>
      <c r="N44" s="5" t="s">
        <v>45</v>
      </c>
      <c r="O44" s="5" t="n">
        <v>2</v>
      </c>
      <c r="P44" s="5" t="n">
        <v>1</v>
      </c>
      <c r="Q44" s="5" t="n">
        <v>0</v>
      </c>
      <c r="R44" s="5" t="n">
        <v>0</v>
      </c>
      <c r="S44" s="5" t="s">
        <v>93</v>
      </c>
      <c r="T44" s="5" t="s">
        <v>176</v>
      </c>
      <c r="U44" s="5" t="s">
        <v>45</v>
      </c>
      <c r="V44" s="5" t="s">
        <v>177</v>
      </c>
    </row>
    <row r="45" customFormat="false" ht="26.25" hidden="false" customHeight="true" outlineLevel="0" collapsed="false">
      <c r="A45" s="5" t="n">
        <v>44</v>
      </c>
      <c r="B45" s="5" t="s">
        <v>178</v>
      </c>
      <c r="C45" s="5" t="s">
        <v>71</v>
      </c>
      <c r="D45" s="5" t="s">
        <v>51</v>
      </c>
      <c r="E45" s="5" t="s">
        <v>175</v>
      </c>
      <c r="F45" s="5" t="s">
        <v>132</v>
      </c>
      <c r="G45" s="5" t="s">
        <v>45</v>
      </c>
      <c r="H45" s="5" t="s">
        <v>78</v>
      </c>
      <c r="I45" s="5" t="s">
        <v>43</v>
      </c>
      <c r="J45" s="5" t="n">
        <v>7</v>
      </c>
      <c r="K45" s="5" t="n">
        <v>7</v>
      </c>
      <c r="L45" s="5" t="n">
        <v>0</v>
      </c>
      <c r="M45" s="5" t="s">
        <v>44</v>
      </c>
      <c r="N45" s="5" t="s">
        <v>45</v>
      </c>
      <c r="O45" s="5" t="n">
        <v>2</v>
      </c>
      <c r="P45" s="5" t="n">
        <v>2</v>
      </c>
      <c r="Q45" s="5" t="n">
        <v>1</v>
      </c>
      <c r="R45" s="5" t="n">
        <v>0</v>
      </c>
      <c r="S45" s="5" t="s">
        <v>93</v>
      </c>
      <c r="T45" s="5" t="s">
        <v>125</v>
      </c>
      <c r="U45" s="5" t="s">
        <v>45</v>
      </c>
      <c r="V45" s="5" t="s">
        <v>179</v>
      </c>
    </row>
    <row r="46" customFormat="false" ht="26.25" hidden="false" customHeight="true" outlineLevel="0" collapsed="false">
      <c r="A46" s="5" t="n">
        <v>45</v>
      </c>
      <c r="B46" s="5" t="s">
        <v>180</v>
      </c>
      <c r="C46" s="5" t="s">
        <v>71</v>
      </c>
      <c r="D46" s="5" t="s">
        <v>56</v>
      </c>
      <c r="E46" s="5" t="s">
        <v>175</v>
      </c>
      <c r="F46" s="5" t="s">
        <v>132</v>
      </c>
      <c r="G46" s="5" t="s">
        <v>45</v>
      </c>
      <c r="H46" s="5" t="s">
        <v>78</v>
      </c>
      <c r="I46" s="5" t="s">
        <v>78</v>
      </c>
      <c r="J46" s="5" t="n">
        <v>10</v>
      </c>
      <c r="K46" s="5" t="n">
        <v>0</v>
      </c>
      <c r="L46" s="5" t="n">
        <v>10</v>
      </c>
      <c r="M46" s="5" t="s">
        <v>44</v>
      </c>
      <c r="N46" s="5" t="s">
        <v>45</v>
      </c>
      <c r="O46" s="5" t="n">
        <v>3</v>
      </c>
      <c r="P46" s="5" t="n">
        <v>1</v>
      </c>
      <c r="Q46" s="5" t="n">
        <v>0</v>
      </c>
      <c r="R46" s="5" t="n">
        <v>0</v>
      </c>
      <c r="S46" s="5" t="s">
        <v>79</v>
      </c>
      <c r="T46" s="5" t="s">
        <v>181</v>
      </c>
      <c r="U46" s="5" t="s">
        <v>45</v>
      </c>
      <c r="V46" s="5" t="s">
        <v>182</v>
      </c>
    </row>
    <row r="47" customFormat="false" ht="39" hidden="false" customHeight="true" outlineLevel="0" collapsed="false">
      <c r="A47" s="5" t="n">
        <v>46</v>
      </c>
      <c r="B47" s="5" t="s">
        <v>183</v>
      </c>
      <c r="C47" s="5" t="s">
        <v>71</v>
      </c>
      <c r="D47" s="5" t="s">
        <v>38</v>
      </c>
      <c r="E47" s="5" t="s">
        <v>86</v>
      </c>
      <c r="F47" s="5" t="s">
        <v>132</v>
      </c>
      <c r="G47" s="5" t="s">
        <v>45</v>
      </c>
      <c r="H47" s="5" t="s">
        <v>78</v>
      </c>
      <c r="I47" s="5" t="s">
        <v>43</v>
      </c>
      <c r="J47" s="5" t="n">
        <v>8</v>
      </c>
      <c r="K47" s="5" t="n">
        <v>8</v>
      </c>
      <c r="L47" s="5" t="n">
        <v>0</v>
      </c>
      <c r="M47" s="5" t="s">
        <v>44</v>
      </c>
      <c r="N47" s="5" t="s">
        <v>45</v>
      </c>
      <c r="O47" s="5" t="n">
        <v>3</v>
      </c>
      <c r="P47" s="5" t="n">
        <v>1</v>
      </c>
      <c r="Q47" s="5" t="n">
        <v>0</v>
      </c>
      <c r="R47" s="5" t="n">
        <v>0</v>
      </c>
      <c r="S47" s="5" t="s">
        <v>184</v>
      </c>
      <c r="T47" s="5" t="s">
        <v>185</v>
      </c>
      <c r="U47" s="5" t="s">
        <v>45</v>
      </c>
      <c r="V47" s="5" t="s">
        <v>186</v>
      </c>
    </row>
    <row r="48" customFormat="false" ht="26.25" hidden="false" customHeight="true" outlineLevel="0" collapsed="false">
      <c r="A48" s="5" t="n">
        <v>47</v>
      </c>
      <c r="B48" s="5" t="s">
        <v>187</v>
      </c>
      <c r="C48" s="5" t="s">
        <v>71</v>
      </c>
      <c r="D48" s="5" t="s">
        <v>51</v>
      </c>
      <c r="E48" s="5" t="s">
        <v>86</v>
      </c>
      <c r="F48" s="5" t="s">
        <v>132</v>
      </c>
      <c r="G48" s="5" t="s">
        <v>45</v>
      </c>
      <c r="H48" s="5" t="s">
        <v>78</v>
      </c>
      <c r="I48" s="5" t="s">
        <v>43</v>
      </c>
      <c r="J48" s="5" t="n">
        <v>9</v>
      </c>
      <c r="K48" s="5" t="n">
        <v>9</v>
      </c>
      <c r="L48" s="5" t="n">
        <v>0</v>
      </c>
      <c r="M48" s="5" t="s">
        <v>44</v>
      </c>
      <c r="N48" s="5" t="s">
        <v>45</v>
      </c>
      <c r="O48" s="5" t="n">
        <v>1</v>
      </c>
      <c r="P48" s="5" t="n">
        <v>2</v>
      </c>
      <c r="Q48" s="5" t="n">
        <v>1</v>
      </c>
      <c r="R48" s="5" t="n">
        <v>0</v>
      </c>
      <c r="S48" s="5" t="s">
        <v>188</v>
      </c>
      <c r="T48" s="5" t="s">
        <v>189</v>
      </c>
      <c r="U48" s="5" t="s">
        <v>45</v>
      </c>
      <c r="V48" s="5" t="s">
        <v>190</v>
      </c>
    </row>
    <row r="49" customFormat="false" ht="26.25" hidden="false" customHeight="true" outlineLevel="0" collapsed="false">
      <c r="A49" s="5" t="n">
        <v>48</v>
      </c>
      <c r="B49" s="5" t="s">
        <v>191</v>
      </c>
      <c r="C49" s="5" t="s">
        <v>71</v>
      </c>
      <c r="D49" s="5" t="s">
        <v>56</v>
      </c>
      <c r="E49" s="5" t="s">
        <v>86</v>
      </c>
      <c r="F49" s="5" t="s">
        <v>132</v>
      </c>
      <c r="G49" s="5" t="s">
        <v>45</v>
      </c>
      <c r="H49" s="5" t="s">
        <v>78</v>
      </c>
      <c r="I49" s="5" t="s">
        <v>78</v>
      </c>
      <c r="J49" s="5" t="n">
        <v>11</v>
      </c>
      <c r="K49" s="5" t="n">
        <v>10</v>
      </c>
      <c r="L49" s="5" t="n">
        <v>1</v>
      </c>
      <c r="M49" s="5" t="s">
        <v>44</v>
      </c>
      <c r="N49" s="5" t="s">
        <v>45</v>
      </c>
      <c r="O49" s="5" t="n">
        <v>3</v>
      </c>
      <c r="P49" s="5" t="n">
        <v>2</v>
      </c>
      <c r="Q49" s="5" t="n">
        <v>1</v>
      </c>
      <c r="R49" s="5" t="n">
        <v>0</v>
      </c>
      <c r="S49" s="5" t="s">
        <v>192</v>
      </c>
      <c r="T49" s="5" t="s">
        <v>193</v>
      </c>
      <c r="U49" s="5" t="s">
        <v>45</v>
      </c>
      <c r="V49" s="5" t="s">
        <v>194</v>
      </c>
    </row>
    <row r="50" customFormat="false" ht="26.25" hidden="false" customHeight="true" outlineLevel="0" collapsed="false">
      <c r="A50" s="5" t="n">
        <v>49</v>
      </c>
      <c r="B50" s="5" t="s">
        <v>195</v>
      </c>
      <c r="C50" s="5" t="s">
        <v>71</v>
      </c>
      <c r="D50" s="5" t="s">
        <v>38</v>
      </c>
      <c r="E50" s="5" t="s">
        <v>72</v>
      </c>
      <c r="F50" s="5" t="s">
        <v>132</v>
      </c>
      <c r="G50" s="5" t="s">
        <v>45</v>
      </c>
      <c r="H50" s="5" t="s">
        <v>43</v>
      </c>
      <c r="I50" s="5" t="s">
        <v>43</v>
      </c>
      <c r="J50" s="5" t="n">
        <v>5</v>
      </c>
      <c r="K50" s="5" t="n">
        <v>5</v>
      </c>
      <c r="L50" s="5" t="n">
        <v>0</v>
      </c>
      <c r="M50" s="5" t="s">
        <v>44</v>
      </c>
      <c r="N50" s="5" t="s">
        <v>45</v>
      </c>
      <c r="O50" s="5" t="n">
        <v>0</v>
      </c>
      <c r="P50" s="5" t="n">
        <v>2</v>
      </c>
      <c r="Q50" s="5" t="n">
        <v>0</v>
      </c>
      <c r="R50" s="5" t="n">
        <v>1</v>
      </c>
      <c r="S50" s="5" t="s">
        <v>45</v>
      </c>
      <c r="T50" s="5" t="s">
        <v>133</v>
      </c>
      <c r="U50" s="5" t="s">
        <v>45</v>
      </c>
      <c r="V50" s="5" t="s">
        <v>196</v>
      </c>
    </row>
    <row r="51" customFormat="false" ht="26.25" hidden="false" customHeight="true" outlineLevel="0" collapsed="false">
      <c r="A51" s="5" t="n">
        <v>50</v>
      </c>
      <c r="B51" s="5" t="s">
        <v>197</v>
      </c>
      <c r="C51" s="5" t="s">
        <v>71</v>
      </c>
      <c r="D51" s="5" t="s">
        <v>51</v>
      </c>
      <c r="E51" s="5" t="s">
        <v>72</v>
      </c>
      <c r="F51" s="5" t="s">
        <v>132</v>
      </c>
      <c r="G51" s="5" t="s">
        <v>45</v>
      </c>
      <c r="H51" s="5" t="s">
        <v>43</v>
      </c>
      <c r="I51" s="5" t="s">
        <v>43</v>
      </c>
      <c r="J51" s="5" t="n">
        <v>5</v>
      </c>
      <c r="K51" s="5" t="n">
        <v>5</v>
      </c>
      <c r="L51" s="5" t="n">
        <v>0</v>
      </c>
      <c r="M51" s="5" t="s">
        <v>44</v>
      </c>
      <c r="N51" s="5" t="s">
        <v>45</v>
      </c>
      <c r="O51" s="5" t="n">
        <v>0</v>
      </c>
      <c r="P51" s="5" t="n">
        <v>2</v>
      </c>
      <c r="Q51" s="5" t="n">
        <v>1</v>
      </c>
      <c r="R51" s="5" t="n">
        <v>0</v>
      </c>
      <c r="S51" s="5" t="s">
        <v>45</v>
      </c>
      <c r="T51" s="5" t="s">
        <v>133</v>
      </c>
      <c r="U51" s="5" t="s">
        <v>45</v>
      </c>
      <c r="V51" s="5" t="s">
        <v>198</v>
      </c>
    </row>
    <row r="52" customFormat="false" ht="26.25" hidden="false" customHeight="true" outlineLevel="0" collapsed="false">
      <c r="A52" s="5" t="n">
        <v>51</v>
      </c>
      <c r="B52" s="5" t="s">
        <v>199</v>
      </c>
      <c r="C52" s="5" t="s">
        <v>71</v>
      </c>
      <c r="D52" s="5" t="s">
        <v>56</v>
      </c>
      <c r="E52" s="5" t="s">
        <v>72</v>
      </c>
      <c r="F52" s="5" t="s">
        <v>132</v>
      </c>
      <c r="G52" s="5" t="s">
        <v>45</v>
      </c>
      <c r="H52" s="5" t="s">
        <v>43</v>
      </c>
      <c r="I52" s="5" t="s">
        <v>78</v>
      </c>
      <c r="J52" s="5" t="n">
        <v>10</v>
      </c>
      <c r="K52" s="5" t="n">
        <v>5</v>
      </c>
      <c r="L52" s="5" t="n">
        <v>5</v>
      </c>
      <c r="M52" s="5" t="s">
        <v>44</v>
      </c>
      <c r="N52" s="5" t="s">
        <v>45</v>
      </c>
      <c r="O52" s="5" t="n">
        <v>3</v>
      </c>
      <c r="P52" s="5" t="n">
        <v>4</v>
      </c>
      <c r="Q52" s="5" t="n">
        <v>2</v>
      </c>
      <c r="R52" s="5" t="n">
        <v>0</v>
      </c>
      <c r="S52" s="5" t="s">
        <v>79</v>
      </c>
      <c r="T52" s="5" t="s">
        <v>200</v>
      </c>
      <c r="U52" s="5" t="s">
        <v>45</v>
      </c>
      <c r="V52" s="5" t="s">
        <v>201</v>
      </c>
    </row>
    <row r="53" customFormat="false" ht="26.25" hidden="false" customHeight="true" outlineLevel="0" collapsed="false">
      <c r="A53" s="5" t="n">
        <v>52</v>
      </c>
      <c r="B53" s="5" t="s">
        <v>202</v>
      </c>
      <c r="C53" s="5" t="s">
        <v>102</v>
      </c>
      <c r="D53" s="5" t="s">
        <v>38</v>
      </c>
      <c r="E53" s="5" t="s">
        <v>203</v>
      </c>
      <c r="F53" s="5" t="s">
        <v>132</v>
      </c>
      <c r="G53" s="5" t="s">
        <v>45</v>
      </c>
      <c r="H53" s="5" t="s">
        <v>78</v>
      </c>
      <c r="I53" s="5" t="s">
        <v>78</v>
      </c>
      <c r="J53" s="5" t="n">
        <v>7</v>
      </c>
      <c r="K53" s="5" t="n">
        <v>6</v>
      </c>
      <c r="L53" s="5" t="n">
        <v>1</v>
      </c>
      <c r="M53" s="5" t="s">
        <v>44</v>
      </c>
      <c r="N53" s="5" t="s">
        <v>45</v>
      </c>
      <c r="O53" s="5" t="n">
        <v>3</v>
      </c>
      <c r="P53" s="5" t="n">
        <v>1</v>
      </c>
      <c r="Q53" s="5" t="n">
        <v>0</v>
      </c>
      <c r="R53" s="5" t="n">
        <v>0</v>
      </c>
      <c r="S53" s="5" t="s">
        <v>79</v>
      </c>
      <c r="T53" s="5" t="s">
        <v>204</v>
      </c>
      <c r="U53" s="5" t="s">
        <v>45</v>
      </c>
      <c r="V53" s="5" t="s">
        <v>205</v>
      </c>
    </row>
    <row r="54" customFormat="false" ht="26.25" hidden="false" customHeight="true" outlineLevel="0" collapsed="false">
      <c r="A54" s="5" t="n">
        <v>53</v>
      </c>
      <c r="B54" s="5" t="s">
        <v>206</v>
      </c>
      <c r="C54" s="5" t="s">
        <v>102</v>
      </c>
      <c r="D54" s="5" t="s">
        <v>51</v>
      </c>
      <c r="E54" s="5" t="s">
        <v>203</v>
      </c>
      <c r="F54" s="5" t="s">
        <v>132</v>
      </c>
      <c r="G54" s="5" t="s">
        <v>45</v>
      </c>
      <c r="H54" s="5" t="s">
        <v>78</v>
      </c>
      <c r="I54" s="5" t="s">
        <v>78</v>
      </c>
      <c r="J54" s="5" t="n">
        <v>4</v>
      </c>
      <c r="K54" s="5" t="n">
        <v>0</v>
      </c>
      <c r="L54" s="5" t="n">
        <v>4</v>
      </c>
      <c r="M54" s="5" t="s">
        <v>44</v>
      </c>
      <c r="N54" s="5" t="s">
        <v>45</v>
      </c>
      <c r="O54" s="5" t="n">
        <v>3</v>
      </c>
      <c r="P54" s="5" t="n">
        <v>2</v>
      </c>
      <c r="Q54" s="5" t="n">
        <v>1</v>
      </c>
      <c r="R54" s="5" t="n">
        <v>0</v>
      </c>
      <c r="S54" s="5" t="s">
        <v>207</v>
      </c>
      <c r="T54" s="5" t="s">
        <v>208</v>
      </c>
      <c r="U54" s="5" t="s">
        <v>45</v>
      </c>
      <c r="V54" s="5" t="s">
        <v>209</v>
      </c>
    </row>
    <row r="55" customFormat="false" ht="26.25" hidden="false" customHeight="true" outlineLevel="0" collapsed="false">
      <c r="A55" s="5" t="n">
        <v>54</v>
      </c>
      <c r="B55" s="5" t="s">
        <v>210</v>
      </c>
      <c r="C55" s="5" t="s">
        <v>102</v>
      </c>
      <c r="D55" s="5" t="s">
        <v>56</v>
      </c>
      <c r="E55" s="5" t="s">
        <v>203</v>
      </c>
      <c r="F55" s="5" t="s">
        <v>132</v>
      </c>
      <c r="G55" s="5" t="s">
        <v>45</v>
      </c>
      <c r="H55" s="5" t="s">
        <v>78</v>
      </c>
      <c r="I55" s="5" t="s">
        <v>43</v>
      </c>
      <c r="J55" s="5" t="n">
        <v>8</v>
      </c>
      <c r="K55" s="5" t="n">
        <v>0</v>
      </c>
      <c r="L55" s="5" t="n">
        <v>8</v>
      </c>
      <c r="M55" s="5" t="s">
        <v>211</v>
      </c>
      <c r="N55" s="5" t="s">
        <v>212</v>
      </c>
      <c r="O55" s="5" t="n">
        <v>3</v>
      </c>
      <c r="P55" s="5" t="n">
        <v>1</v>
      </c>
      <c r="Q55" s="5" t="n">
        <v>0</v>
      </c>
      <c r="R55" s="5" t="n">
        <v>0</v>
      </c>
      <c r="S55" s="5" t="s">
        <v>79</v>
      </c>
      <c r="T55" s="5" t="s">
        <v>213</v>
      </c>
      <c r="U55" s="5" t="s">
        <v>45</v>
      </c>
      <c r="V55" s="5" t="s">
        <v>214</v>
      </c>
    </row>
    <row r="56" customFormat="false" ht="26.25" hidden="false" customHeight="true" outlineLevel="0" collapsed="false">
      <c r="A56" s="5" t="n">
        <v>55</v>
      </c>
      <c r="B56" s="5" t="s">
        <v>215</v>
      </c>
      <c r="C56" s="5" t="s">
        <v>102</v>
      </c>
      <c r="D56" s="5" t="s">
        <v>38</v>
      </c>
      <c r="E56" s="5" t="s">
        <v>216</v>
      </c>
      <c r="F56" s="5" t="s">
        <v>132</v>
      </c>
      <c r="G56" s="5" t="s">
        <v>45</v>
      </c>
      <c r="H56" s="5" t="s">
        <v>78</v>
      </c>
      <c r="I56" s="5" t="s">
        <v>78</v>
      </c>
      <c r="J56" s="5" t="n">
        <v>4</v>
      </c>
      <c r="K56" s="5" t="n">
        <v>0</v>
      </c>
      <c r="L56" s="5" t="n">
        <v>4</v>
      </c>
      <c r="M56" s="5" t="s">
        <v>124</v>
      </c>
      <c r="N56" s="5" t="s">
        <v>217</v>
      </c>
      <c r="O56" s="5" t="n">
        <v>3</v>
      </c>
      <c r="P56" s="5" t="n">
        <v>1</v>
      </c>
      <c r="Q56" s="5" t="n">
        <v>0</v>
      </c>
      <c r="R56" s="5" t="n">
        <v>0</v>
      </c>
      <c r="S56" s="5" t="s">
        <v>79</v>
      </c>
      <c r="T56" s="5" t="s">
        <v>218</v>
      </c>
      <c r="U56" s="5" t="s">
        <v>45</v>
      </c>
      <c r="V56" s="5" t="s">
        <v>219</v>
      </c>
    </row>
    <row r="57" customFormat="false" ht="26.25" hidden="false" customHeight="true" outlineLevel="0" collapsed="false">
      <c r="A57" s="5" t="n">
        <v>56</v>
      </c>
      <c r="B57" s="5" t="s">
        <v>220</v>
      </c>
      <c r="C57" s="5" t="s">
        <v>102</v>
      </c>
      <c r="D57" s="5" t="s">
        <v>51</v>
      </c>
      <c r="E57" s="5" t="s">
        <v>216</v>
      </c>
      <c r="F57" s="5" t="s">
        <v>132</v>
      </c>
      <c r="G57" s="5" t="s">
        <v>45</v>
      </c>
      <c r="H57" s="5" t="s">
        <v>78</v>
      </c>
      <c r="I57" s="5" t="s">
        <v>78</v>
      </c>
      <c r="J57" s="5" t="n">
        <v>2</v>
      </c>
      <c r="K57" s="5" t="n">
        <v>1</v>
      </c>
      <c r="L57" s="5" t="n">
        <v>1</v>
      </c>
      <c r="M57" s="5" t="s">
        <v>44</v>
      </c>
      <c r="N57" s="5" t="s">
        <v>45</v>
      </c>
      <c r="O57" s="5" t="n">
        <v>3</v>
      </c>
      <c r="P57" s="5" t="n">
        <v>1</v>
      </c>
      <c r="Q57" s="5" t="n">
        <v>0</v>
      </c>
      <c r="R57" s="5" t="n">
        <v>0</v>
      </c>
      <c r="S57" s="5" t="s">
        <v>79</v>
      </c>
      <c r="T57" s="5" t="s">
        <v>221</v>
      </c>
      <c r="U57" s="5" t="s">
        <v>45</v>
      </c>
      <c r="V57" s="5" t="s">
        <v>222</v>
      </c>
    </row>
    <row r="58" customFormat="false" ht="39" hidden="false" customHeight="true" outlineLevel="0" collapsed="false">
      <c r="A58" s="5" t="n">
        <v>57</v>
      </c>
      <c r="B58" s="5" t="s">
        <v>223</v>
      </c>
      <c r="C58" s="5" t="s">
        <v>102</v>
      </c>
      <c r="D58" s="5" t="s">
        <v>56</v>
      </c>
      <c r="E58" s="5" t="s">
        <v>216</v>
      </c>
      <c r="F58" s="5" t="s">
        <v>132</v>
      </c>
      <c r="G58" s="5" t="s">
        <v>45</v>
      </c>
      <c r="H58" s="5" t="s">
        <v>78</v>
      </c>
      <c r="I58" s="5" t="s">
        <v>43</v>
      </c>
      <c r="J58" s="5" t="n">
        <v>5</v>
      </c>
      <c r="K58" s="5" t="n">
        <v>5</v>
      </c>
      <c r="L58" s="5" t="n">
        <v>0</v>
      </c>
      <c r="M58" s="5" t="s">
        <v>44</v>
      </c>
      <c r="N58" s="5" t="s">
        <v>45</v>
      </c>
      <c r="O58" s="5" t="n">
        <v>3</v>
      </c>
      <c r="P58" s="5" t="n">
        <v>1</v>
      </c>
      <c r="Q58" s="5" t="n">
        <v>0</v>
      </c>
      <c r="R58" s="5" t="n">
        <v>0</v>
      </c>
      <c r="S58" s="5" t="s">
        <v>224</v>
      </c>
      <c r="T58" s="5" t="s">
        <v>225</v>
      </c>
      <c r="U58" s="5" t="s">
        <v>45</v>
      </c>
      <c r="V58" s="5" t="s">
        <v>226</v>
      </c>
    </row>
    <row r="59" customFormat="false" ht="15" hidden="false" customHeight="true" outlineLevel="0" collapsed="false">
      <c r="A59" s="5" t="n">
        <v>58</v>
      </c>
      <c r="B59" s="5" t="s">
        <v>227</v>
      </c>
      <c r="C59" s="5" t="s">
        <v>102</v>
      </c>
      <c r="D59" s="5" t="s">
        <v>38</v>
      </c>
      <c r="E59" s="5" t="s">
        <v>228</v>
      </c>
      <c r="F59" s="5" t="s">
        <v>132</v>
      </c>
      <c r="G59" s="5" t="s">
        <v>45</v>
      </c>
      <c r="H59" s="5" t="s">
        <v>43</v>
      </c>
      <c r="I59" s="5" t="s">
        <v>43</v>
      </c>
      <c r="J59" s="5" t="n">
        <v>3</v>
      </c>
      <c r="K59" s="5" t="n">
        <v>3</v>
      </c>
      <c r="L59" s="5" t="n">
        <v>0</v>
      </c>
      <c r="M59" s="5" t="s">
        <v>44</v>
      </c>
      <c r="N59" s="5" t="s">
        <v>45</v>
      </c>
      <c r="O59" s="5" t="n">
        <v>0</v>
      </c>
      <c r="P59" s="5" t="n">
        <v>1</v>
      </c>
      <c r="Q59" s="5" t="n">
        <v>0</v>
      </c>
      <c r="R59" s="5" t="n">
        <v>0</v>
      </c>
      <c r="S59" s="5" t="s">
        <v>45</v>
      </c>
      <c r="T59" s="5" t="s">
        <v>133</v>
      </c>
      <c r="U59" s="5" t="s">
        <v>45</v>
      </c>
      <c r="V59" s="5" t="s">
        <v>229</v>
      </c>
    </row>
    <row r="60" customFormat="false" ht="26.25" hidden="false" customHeight="true" outlineLevel="0" collapsed="false">
      <c r="A60" s="5" t="n">
        <v>59</v>
      </c>
      <c r="B60" s="5" t="s">
        <v>230</v>
      </c>
      <c r="C60" s="5" t="s">
        <v>102</v>
      </c>
      <c r="D60" s="5" t="s">
        <v>51</v>
      </c>
      <c r="E60" s="5" t="s">
        <v>228</v>
      </c>
      <c r="F60" s="5" t="s">
        <v>132</v>
      </c>
      <c r="G60" s="5" t="s">
        <v>45</v>
      </c>
      <c r="H60" s="5" t="s">
        <v>43</v>
      </c>
      <c r="I60" s="5" t="s">
        <v>43</v>
      </c>
      <c r="J60" s="5" t="n">
        <v>2</v>
      </c>
      <c r="K60" s="5" t="n">
        <v>2</v>
      </c>
      <c r="L60" s="5" t="n">
        <v>0</v>
      </c>
      <c r="M60" s="5" t="s">
        <v>44</v>
      </c>
      <c r="N60" s="5" t="s">
        <v>45</v>
      </c>
      <c r="O60" s="5" t="n">
        <v>0</v>
      </c>
      <c r="P60" s="5" t="n">
        <v>1</v>
      </c>
      <c r="Q60" s="5" t="n">
        <v>0</v>
      </c>
      <c r="R60" s="5" t="n">
        <v>0</v>
      </c>
      <c r="S60" s="5" t="s">
        <v>45</v>
      </c>
      <c r="T60" s="5" t="s">
        <v>133</v>
      </c>
      <c r="U60" s="5" t="s">
        <v>45</v>
      </c>
      <c r="V60" s="5" t="s">
        <v>231</v>
      </c>
    </row>
    <row r="61" customFormat="false" ht="26.25" hidden="false" customHeight="true" outlineLevel="0" collapsed="false">
      <c r="A61" s="5" t="n">
        <v>60</v>
      </c>
      <c r="B61" s="5" t="s">
        <v>232</v>
      </c>
      <c r="C61" s="5" t="s">
        <v>102</v>
      </c>
      <c r="D61" s="5" t="s">
        <v>56</v>
      </c>
      <c r="E61" s="5" t="s">
        <v>228</v>
      </c>
      <c r="F61" s="5" t="s">
        <v>132</v>
      </c>
      <c r="G61" s="5" t="s">
        <v>45</v>
      </c>
      <c r="H61" s="5" t="s">
        <v>43</v>
      </c>
      <c r="I61" s="5" t="s">
        <v>78</v>
      </c>
      <c r="J61" s="5" t="n">
        <v>6</v>
      </c>
      <c r="K61" s="5" t="n">
        <v>6</v>
      </c>
      <c r="L61" s="5" t="n">
        <v>0</v>
      </c>
      <c r="M61" s="5" t="s">
        <v>44</v>
      </c>
      <c r="N61" s="5" t="s">
        <v>45</v>
      </c>
      <c r="O61" s="5" t="n">
        <v>2</v>
      </c>
      <c r="P61" s="5" t="n">
        <v>1</v>
      </c>
      <c r="Q61" s="5" t="n">
        <v>0</v>
      </c>
      <c r="R61" s="5" t="n">
        <v>0</v>
      </c>
      <c r="S61" s="5" t="s">
        <v>93</v>
      </c>
      <c r="T61" s="5" t="s">
        <v>233</v>
      </c>
      <c r="U61" s="5" t="s">
        <v>45</v>
      </c>
      <c r="V61" s="5" t="s">
        <v>234</v>
      </c>
    </row>
    <row r="62" customFormat="false" ht="26.25" hidden="false" customHeight="true" outlineLevel="0" collapsed="false">
      <c r="A62" s="5" t="s">
        <v>45</v>
      </c>
      <c r="B62" s="5" t="s">
        <v>235</v>
      </c>
      <c r="C62" s="5" t="s">
        <v>102</v>
      </c>
      <c r="D62" s="5" t="s">
        <v>56</v>
      </c>
      <c r="E62" s="5" t="s">
        <v>103</v>
      </c>
      <c r="F62" s="5" t="s">
        <v>236</v>
      </c>
      <c r="G62" s="5" t="s">
        <v>104</v>
      </c>
      <c r="H62" s="5" t="s">
        <v>83</v>
      </c>
      <c r="I62" s="5" t="s">
        <v>78</v>
      </c>
      <c r="J62" s="5" t="n">
        <v>8</v>
      </c>
      <c r="K62" s="5" t="n">
        <v>4</v>
      </c>
      <c r="L62" s="5" t="n">
        <v>4</v>
      </c>
      <c r="M62" s="5" t="s">
        <v>44</v>
      </c>
      <c r="N62" s="5" t="s">
        <v>45</v>
      </c>
      <c r="O62" s="5" t="n">
        <v>3</v>
      </c>
      <c r="P62" s="5" t="n">
        <v>2</v>
      </c>
      <c r="Q62" s="5" t="n">
        <v>1</v>
      </c>
      <c r="R62" s="5" t="n">
        <v>0</v>
      </c>
      <c r="S62" s="5" t="s">
        <v>192</v>
      </c>
      <c r="T62" s="5" t="s">
        <v>237</v>
      </c>
      <c r="U62" s="5" t="s">
        <v>238</v>
      </c>
      <c r="V62" s="5" t="s">
        <v>239</v>
      </c>
    </row>
    <row r="63" customFormat="false" ht="39" hidden="false" customHeight="true" outlineLevel="0" collapsed="false">
      <c r="A63" s="5" t="s">
        <v>45</v>
      </c>
      <c r="B63" s="5" t="s">
        <v>240</v>
      </c>
      <c r="C63" s="5" t="s">
        <v>102</v>
      </c>
      <c r="D63" s="5" t="s">
        <v>51</v>
      </c>
      <c r="E63" s="5" t="s">
        <v>103</v>
      </c>
      <c r="F63" s="5" t="s">
        <v>236</v>
      </c>
      <c r="G63" s="5" t="s">
        <v>104</v>
      </c>
      <c r="H63" s="5" t="s">
        <v>83</v>
      </c>
      <c r="I63" s="5" t="s">
        <v>78</v>
      </c>
      <c r="J63" s="5" t="n">
        <v>2</v>
      </c>
      <c r="K63" s="5" t="n">
        <v>0</v>
      </c>
      <c r="L63" s="5" t="n">
        <v>2</v>
      </c>
      <c r="M63" s="5" t="s">
        <v>124</v>
      </c>
      <c r="N63" s="5" t="s">
        <v>241</v>
      </c>
      <c r="O63" s="5" t="n">
        <v>2</v>
      </c>
      <c r="P63" s="5" t="n">
        <v>2</v>
      </c>
      <c r="Q63" s="5" t="n">
        <v>1</v>
      </c>
      <c r="R63" s="5" t="n">
        <v>0</v>
      </c>
      <c r="S63" s="5" t="s">
        <v>242</v>
      </c>
      <c r="T63" s="5" t="s">
        <v>243</v>
      </c>
      <c r="U63" s="5" t="s">
        <v>75</v>
      </c>
      <c r="V63" s="5" t="s">
        <v>244</v>
      </c>
    </row>
    <row r="64" customFormat="false" ht="26.25" hidden="false" customHeight="true" outlineLevel="0" collapsed="false">
      <c r="A64" s="5" t="s">
        <v>45</v>
      </c>
      <c r="B64" s="5" t="s">
        <v>245</v>
      </c>
      <c r="C64" s="5" t="s">
        <v>102</v>
      </c>
      <c r="D64" s="5" t="s">
        <v>38</v>
      </c>
      <c r="E64" s="5" t="s">
        <v>103</v>
      </c>
      <c r="F64" s="5" t="s">
        <v>236</v>
      </c>
      <c r="G64" s="5" t="s">
        <v>104</v>
      </c>
      <c r="H64" s="5" t="s">
        <v>83</v>
      </c>
      <c r="I64" s="5" t="s">
        <v>45</v>
      </c>
      <c r="J64" s="5" t="n">
        <v>0</v>
      </c>
      <c r="K64" s="5" t="n">
        <v>0</v>
      </c>
      <c r="L64" s="5" t="n">
        <v>0</v>
      </c>
      <c r="M64" s="5" t="s">
        <v>246</v>
      </c>
      <c r="N64" s="5" t="s">
        <v>45</v>
      </c>
      <c r="O64" s="5" t="n">
        <v>0</v>
      </c>
      <c r="P64" s="5" t="n">
        <v>2</v>
      </c>
      <c r="Q64" s="5" t="n">
        <v>2</v>
      </c>
      <c r="R64" s="5" t="n">
        <v>0</v>
      </c>
      <c r="S64" s="5" t="s">
        <v>45</v>
      </c>
      <c r="T64" s="5" t="s">
        <v>83</v>
      </c>
      <c r="U64" s="5" t="s">
        <v>83</v>
      </c>
      <c r="V64" s="5" t="s">
        <v>247</v>
      </c>
    </row>
    <row r="65" customFormat="false" ht="26.25" hidden="false" customHeight="true" outlineLevel="0" collapsed="false">
      <c r="A65" s="5" t="s">
        <v>45</v>
      </c>
      <c r="B65" s="5" t="s">
        <v>248</v>
      </c>
      <c r="C65" s="5" t="s">
        <v>71</v>
      </c>
      <c r="D65" s="5" t="s">
        <v>51</v>
      </c>
      <c r="E65" s="5" t="s">
        <v>86</v>
      </c>
      <c r="F65" s="5" t="s">
        <v>236</v>
      </c>
      <c r="G65" s="5" t="s">
        <v>87</v>
      </c>
      <c r="H65" s="5" t="s">
        <v>78</v>
      </c>
      <c r="I65" s="5" t="s">
        <v>78</v>
      </c>
      <c r="J65" s="5" t="n">
        <v>9</v>
      </c>
      <c r="K65" s="5" t="n">
        <v>0</v>
      </c>
      <c r="L65" s="5" t="n">
        <v>9</v>
      </c>
      <c r="M65" s="5" t="s">
        <v>124</v>
      </c>
      <c r="N65" s="5" t="s">
        <v>45</v>
      </c>
      <c r="O65" s="5" t="n">
        <v>3</v>
      </c>
      <c r="P65" s="5" t="n">
        <v>2</v>
      </c>
      <c r="Q65" s="5" t="n">
        <v>1</v>
      </c>
      <c r="R65" s="5" t="n">
        <v>0</v>
      </c>
      <c r="S65" s="5" t="s">
        <v>79</v>
      </c>
      <c r="T65" s="5" t="s">
        <v>125</v>
      </c>
      <c r="U65" s="5" t="s">
        <v>90</v>
      </c>
      <c r="V65" s="5" t="s">
        <v>249</v>
      </c>
    </row>
  </sheetData>
  <autoFilter ref="A1:V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6" min="4" style="1" width="9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3" min="12" style="1" width="9"/>
    <col collapsed="false" customWidth="true" hidden="false" outlineLevel="0" max="14" min="14" style="1" width="10"/>
    <col collapsed="false" customWidth="true" hidden="false" outlineLevel="0" max="15" min="15" style="1" width="8"/>
    <col collapsed="false" customWidth="true" hidden="false" outlineLevel="0" max="16" min="16" style="1" width="9"/>
    <col collapsed="false" customWidth="true" hidden="false" outlineLevel="0" max="17" min="17" style="1" width="12"/>
  </cols>
  <sheetData>
    <row r="1" customFormat="false" ht="15" hidden="false" customHeight="true" outlineLevel="0" collapsed="false">
      <c r="A1" s="6" t="s">
        <v>250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51.75" hidden="false" customHeight="true" outlineLevel="0" collapsed="false">
      <c r="A3" s="4" t="s">
        <v>19</v>
      </c>
      <c r="B3" s="4" t="s">
        <v>16</v>
      </c>
      <c r="C3" s="4" t="s">
        <v>17</v>
      </c>
      <c r="D3" s="4" t="s">
        <v>251</v>
      </c>
      <c r="E3" s="4" t="s">
        <v>23</v>
      </c>
      <c r="F3" s="4" t="s">
        <v>24</v>
      </c>
      <c r="G3" s="4" t="s">
        <v>252</v>
      </c>
      <c r="H3" s="4" t="s">
        <v>253</v>
      </c>
      <c r="I3" s="4" t="s">
        <v>22</v>
      </c>
      <c r="J3" s="4" t="s">
        <v>254</v>
      </c>
      <c r="K3" s="4" t="s">
        <v>255</v>
      </c>
      <c r="L3" s="4" t="s">
        <v>256</v>
      </c>
      <c r="M3" s="4" t="s">
        <v>257</v>
      </c>
      <c r="N3" s="4" t="s">
        <v>258</v>
      </c>
      <c r="O3" s="4" t="s">
        <v>30</v>
      </c>
      <c r="P3" s="4" t="s">
        <v>259</v>
      </c>
      <c r="Q3" s="4" t="s">
        <v>260</v>
      </c>
    </row>
    <row r="4" customFormat="false" ht="15" hidden="false" customHeight="true" outlineLevel="0" collapsed="false">
      <c r="A4" s="5" t="s">
        <v>132</v>
      </c>
      <c r="B4" s="5" t="s">
        <v>37</v>
      </c>
      <c r="C4" s="5" t="s">
        <v>38</v>
      </c>
      <c r="D4" s="5" t="n">
        <f aca="false">COUNTIFS(Rodadas!$F$2:$F$65,"Limpo",Rodadas!$C$2:$C$65,"Unitário",Rodadas!$D$2:$D$65,"ZS")</f>
        <v>7</v>
      </c>
      <c r="E4" s="5" t="n">
        <f aca="false">SUMIFS(Rodadas!$J$2:$J$65,Rodadas!$F$2:$F$65,"Limpo",Rodadas!$C$2:$C$65,"Unitário",Rodadas!$D$2:$D$65,"ZS")</f>
        <v>114</v>
      </c>
      <c r="F4" s="5" t="n">
        <f aca="false">SUMIFS(Rodadas!$K$2:$K$65,Rodadas!$F$2:$F$65,"Limpo",Rodadas!$C$2:$C$65,"Unitário",Rodadas!$D$2:$D$65,"ZS")</f>
        <v>114</v>
      </c>
      <c r="G4" s="7" t="n">
        <f aca="false">IFERROR(F4/E4,0)</f>
        <v>1</v>
      </c>
      <c r="H4" s="5" t="n">
        <f aca="false">COUNTIFS(Rodadas!$F$2:$F$65,"Limpo",Rodadas!$C$2:$C$65,"Unitário",Rodadas!$D$2:$D$65,"ZS",Rodadas!$L$2:$L$65,0,Rodadas!$K$2:$K$65,"&gt;0")</f>
        <v>7</v>
      </c>
      <c r="I4" s="5" t="n">
        <f aca="false">COUNTIFS(Rodadas!$F$2:$F$65,"Limpo",Rodadas!$C$2:$C$65,"Unitário",Rodadas!$D$2:$D$65,"ZS",Rodadas!$I$2:$I$65,"Sim")</f>
        <v>7</v>
      </c>
      <c r="J4" s="5" t="n">
        <f aca="false">COUNTIFS(Rodadas!$F$2:$F$65,"Limpo",Rodadas!$C$2:$C$65,"Unitário",Rodadas!$D$2:$D$65,"ZS",Rodadas!$O$2:$O$65,"&gt;0")</f>
        <v>1</v>
      </c>
      <c r="K4" s="5" t="n">
        <f aca="false">SUMIFS(Rodadas!$O$2:$O$65,Rodadas!$F$2:$F$65,"Limpo",Rodadas!$C$2:$C$65,"Unitário",Rodadas!$D$2:$D$65,"ZS")</f>
        <v>1</v>
      </c>
      <c r="L4" s="8" t="n">
        <f aca="false">IFERROR(K4/D4,0)</f>
        <v>0.142857142857143</v>
      </c>
      <c r="M4" s="5" t="n">
        <f aca="false">COUNTIFS(Rodadas!$F$2:$F$65,"Limpo",Rodadas!$C$2:$C$65,"Unitário",Rodadas!$D$2:$D$65,"ZS",Rodadas!$O$2:$O$65,3)</f>
        <v>0</v>
      </c>
      <c r="N4" s="5" t="n">
        <f aca="false">SUMIFS(Rodadas!$P$2:$P$65,Rodadas!$F$2:$F$65,"Limpo",Rodadas!$C$2:$C$65,"Unitário",Rodadas!$D$2:$D$65,"ZS")</f>
        <v>11</v>
      </c>
      <c r="O4" s="5" t="n">
        <f aca="false">SUMIFS(Rodadas!$Q$2:$Q$65,Rodadas!$F$2:$F$65,"Limpo",Rodadas!$C$2:$C$65,"Unitário",Rodadas!$D$2:$D$65,"ZS")</f>
        <v>4</v>
      </c>
      <c r="P4" s="5" t="n">
        <f aca="false">COUNTIFS(Rodadas!$F$2:$F$65,"Limpo",Rodadas!$C$2:$C$65,"Unitário",Rodadas!$D$2:$D$65,"ZS",Rodadas!$Q$2:$Q$65,"&gt;0")</f>
        <v>3</v>
      </c>
      <c r="Q4" s="5" t="n">
        <f aca="false">COUNTIFS(Rodadas!$F$2:$F$65,"Limpo",Rodadas!$C$2:$C$65,"Unitário",Rodadas!$D$2:$D$65,"ZS",Rodadas!$M$2:$M$65,"&lt;&gt;executa")</f>
        <v>0</v>
      </c>
    </row>
    <row r="5" customFormat="false" ht="15" hidden="false" customHeight="true" outlineLevel="0" collapsed="false">
      <c r="A5" s="5" t="s">
        <v>132</v>
      </c>
      <c r="B5" s="5" t="s">
        <v>37</v>
      </c>
      <c r="C5" s="5" t="s">
        <v>51</v>
      </c>
      <c r="D5" s="5" t="n">
        <f aca="false">COUNTIFS(Rodadas!$F$2:$F$65,"Limpo",Rodadas!$C$2:$C$65,"Unitário",Rodadas!$D$2:$D$65,"FS")</f>
        <v>7</v>
      </c>
      <c r="E5" s="5" t="n">
        <f aca="false">SUMIFS(Rodadas!$J$2:$J$65,Rodadas!$F$2:$F$65,"Limpo",Rodadas!$C$2:$C$65,"Unitário",Rodadas!$D$2:$D$65,"FS")</f>
        <v>53</v>
      </c>
      <c r="F5" s="5" t="n">
        <f aca="false">SUMIFS(Rodadas!$K$2:$K$65,Rodadas!$F$2:$F$65,"Limpo",Rodadas!$C$2:$C$65,"Unitário",Rodadas!$D$2:$D$65,"FS")</f>
        <v>53</v>
      </c>
      <c r="G5" s="7" t="n">
        <f aca="false">IFERROR(F5/E5,0)</f>
        <v>1</v>
      </c>
      <c r="H5" s="5" t="n">
        <f aca="false">COUNTIFS(Rodadas!$F$2:$F$65,"Limpo",Rodadas!$C$2:$C$65,"Unitário",Rodadas!$D$2:$D$65,"FS",Rodadas!$L$2:$L$65,0,Rodadas!$K$2:$K$65,"&gt;0")</f>
        <v>7</v>
      </c>
      <c r="I5" s="5" t="n">
        <f aca="false">COUNTIFS(Rodadas!$F$2:$F$65,"Limpo",Rodadas!$C$2:$C$65,"Unitário",Rodadas!$D$2:$D$65,"FS",Rodadas!$I$2:$I$65,"Sim")</f>
        <v>7</v>
      </c>
      <c r="J5" s="5" t="n">
        <f aca="false">COUNTIFS(Rodadas!$F$2:$F$65,"Limpo",Rodadas!$C$2:$C$65,"Unitário",Rodadas!$D$2:$D$65,"FS",Rodadas!$O$2:$O$65,"&gt;0")</f>
        <v>0</v>
      </c>
      <c r="K5" s="5" t="n">
        <f aca="false">SUMIFS(Rodadas!$O$2:$O$65,Rodadas!$F$2:$F$65,"Limpo",Rodadas!$C$2:$C$65,"Unitário",Rodadas!$D$2:$D$65,"FS")</f>
        <v>0</v>
      </c>
      <c r="L5" s="8" t="n">
        <f aca="false">IFERROR(K5/D5,0)</f>
        <v>0</v>
      </c>
      <c r="M5" s="5" t="n">
        <f aca="false">COUNTIFS(Rodadas!$F$2:$F$65,"Limpo",Rodadas!$C$2:$C$65,"Unitário",Rodadas!$D$2:$D$65,"FS",Rodadas!$O$2:$O$65,3)</f>
        <v>0</v>
      </c>
      <c r="N5" s="5" t="n">
        <f aca="false">SUMIFS(Rodadas!$P$2:$P$65,Rodadas!$F$2:$F$65,"Limpo",Rodadas!$C$2:$C$65,"Unitário",Rodadas!$D$2:$D$65,"FS")</f>
        <v>9</v>
      </c>
      <c r="O5" s="5" t="n">
        <f aca="false">SUMIFS(Rodadas!$Q$2:$Q$65,Rodadas!$F$2:$F$65,"Limpo",Rodadas!$C$2:$C$65,"Unitário",Rodadas!$D$2:$D$65,"FS")</f>
        <v>2</v>
      </c>
      <c r="P5" s="5" t="n">
        <f aca="false">COUNTIFS(Rodadas!$F$2:$F$65,"Limpo",Rodadas!$C$2:$C$65,"Unitário",Rodadas!$D$2:$D$65,"FS",Rodadas!$Q$2:$Q$65,"&gt;0")</f>
        <v>2</v>
      </c>
      <c r="Q5" s="5" t="n">
        <f aca="false">COUNTIFS(Rodadas!$F$2:$F$65,"Limpo",Rodadas!$C$2:$C$65,"Unitário",Rodadas!$D$2:$D$65,"FS",Rodadas!$M$2:$M$65,"&lt;&gt;executa")</f>
        <v>0</v>
      </c>
    </row>
    <row r="6" customFormat="false" ht="15" hidden="false" customHeight="true" outlineLevel="0" collapsed="false">
      <c r="A6" s="5" t="s">
        <v>132</v>
      </c>
      <c r="B6" s="5" t="s">
        <v>37</v>
      </c>
      <c r="C6" s="5" t="s">
        <v>56</v>
      </c>
      <c r="D6" s="5" t="n">
        <f aca="false">COUNTIFS(Rodadas!$F$2:$F$65,"Limpo",Rodadas!$C$2:$C$65,"Unitário",Rodadas!$D$2:$D$65,"COT")</f>
        <v>7</v>
      </c>
      <c r="E6" s="5" t="n">
        <f aca="false">SUMIFS(Rodadas!$J$2:$J$65,Rodadas!$F$2:$F$65,"Limpo",Rodadas!$C$2:$C$65,"Unitário",Rodadas!$D$2:$D$65,"COT")</f>
        <v>97</v>
      </c>
      <c r="F6" s="5" t="n">
        <f aca="false">SUMIFS(Rodadas!$K$2:$K$65,Rodadas!$F$2:$F$65,"Limpo",Rodadas!$C$2:$C$65,"Unitário",Rodadas!$D$2:$D$65,"COT")</f>
        <v>97</v>
      </c>
      <c r="G6" s="7" t="n">
        <f aca="false">IFERROR(F6/E6,0)</f>
        <v>1</v>
      </c>
      <c r="H6" s="5" t="n">
        <f aca="false">COUNTIFS(Rodadas!$F$2:$F$65,"Limpo",Rodadas!$C$2:$C$65,"Unitário",Rodadas!$D$2:$D$65,"COT",Rodadas!$L$2:$L$65,0,Rodadas!$K$2:$K$65,"&gt;0")</f>
        <v>7</v>
      </c>
      <c r="I6" s="5" t="n">
        <f aca="false">COUNTIFS(Rodadas!$F$2:$F$65,"Limpo",Rodadas!$C$2:$C$65,"Unitário",Rodadas!$D$2:$D$65,"COT",Rodadas!$I$2:$I$65,"Sim")</f>
        <v>7</v>
      </c>
      <c r="J6" s="5" t="n">
        <f aca="false">COUNTIFS(Rodadas!$F$2:$F$65,"Limpo",Rodadas!$C$2:$C$65,"Unitário",Rodadas!$D$2:$D$65,"COT",Rodadas!$O$2:$O$65,"&gt;0")</f>
        <v>1</v>
      </c>
      <c r="K6" s="5" t="n">
        <f aca="false">SUMIFS(Rodadas!$O$2:$O$65,Rodadas!$F$2:$F$65,"Limpo",Rodadas!$C$2:$C$65,"Unitário",Rodadas!$D$2:$D$65,"COT")</f>
        <v>1</v>
      </c>
      <c r="L6" s="8" t="n">
        <f aca="false">IFERROR(K6/D6,0)</f>
        <v>0.142857142857143</v>
      </c>
      <c r="M6" s="5" t="n">
        <f aca="false">COUNTIFS(Rodadas!$F$2:$F$65,"Limpo",Rodadas!$C$2:$C$65,"Unitário",Rodadas!$D$2:$D$65,"COT",Rodadas!$O$2:$O$65,3)</f>
        <v>0</v>
      </c>
      <c r="N6" s="5" t="n">
        <f aca="false">SUMIFS(Rodadas!$P$2:$P$65,Rodadas!$F$2:$F$65,"Limpo",Rodadas!$C$2:$C$65,"Unitário",Rodadas!$D$2:$D$65,"COT")</f>
        <v>12</v>
      </c>
      <c r="O6" s="5" t="n">
        <f aca="false">SUMIFS(Rodadas!$Q$2:$Q$65,Rodadas!$F$2:$F$65,"Limpo",Rodadas!$C$2:$C$65,"Unitário",Rodadas!$D$2:$D$65,"COT")</f>
        <v>4</v>
      </c>
      <c r="P6" s="5" t="n">
        <f aca="false">COUNTIFS(Rodadas!$F$2:$F$65,"Limpo",Rodadas!$C$2:$C$65,"Unitário",Rodadas!$D$2:$D$65,"COT",Rodadas!$Q$2:$Q$65,"&gt;0")</f>
        <v>3</v>
      </c>
      <c r="Q6" s="5" t="n">
        <f aca="false">COUNTIFS(Rodadas!$F$2:$F$65,"Limpo",Rodadas!$C$2:$C$65,"Unitário",Rodadas!$D$2:$D$65,"COT",Rodadas!$M$2:$M$65,"&lt;&gt;executa")</f>
        <v>0</v>
      </c>
    </row>
    <row r="7" customFormat="false" ht="15" hidden="false" customHeight="true" outlineLevel="0" collapsed="false">
      <c r="A7" s="9" t="s">
        <v>132</v>
      </c>
      <c r="B7" s="9" t="s">
        <v>37</v>
      </c>
      <c r="C7" s="9" t="s">
        <v>261</v>
      </c>
      <c r="D7" s="9" t="n">
        <f aca="false">COUNTIFS(Rodadas!$F$2:$F$65,"Limpo",Rodadas!$C$2:$C$65,"Unitário")</f>
        <v>21</v>
      </c>
      <c r="E7" s="9" t="n">
        <f aca="false">SUMIFS(Rodadas!$J$2:$J$65,Rodadas!$F$2:$F$65,"Limpo",Rodadas!$C$2:$C$65,"Unitário")</f>
        <v>264</v>
      </c>
      <c r="F7" s="9" t="n">
        <f aca="false">SUMIFS(Rodadas!$K$2:$K$65,Rodadas!$F$2:$F$65,"Limpo",Rodadas!$C$2:$C$65,"Unitário")</f>
        <v>264</v>
      </c>
      <c r="G7" s="10" t="n">
        <f aca="false">IFERROR(F7/E7,0)</f>
        <v>1</v>
      </c>
      <c r="H7" s="9" t="n">
        <f aca="false">COUNTIFS(Rodadas!$F$2:$F$65,"Limpo",Rodadas!$C$2:$C$65,"Unitário",Rodadas!$L$2:$L$65,0,Rodadas!$K$2:$K$65,"&gt;0")</f>
        <v>21</v>
      </c>
      <c r="I7" s="9" t="n">
        <f aca="false">COUNTIFS(Rodadas!$F$2:$F$65,"Limpo",Rodadas!$C$2:$C$65,"Unitário",Rodadas!$I$2:$I$65,"Sim")</f>
        <v>21</v>
      </c>
      <c r="J7" s="9" t="n">
        <f aca="false">COUNTIFS(Rodadas!$F$2:$F$65,"Limpo",Rodadas!$C$2:$C$65,"Unitário",Rodadas!$O$2:$O$65,"&gt;0")</f>
        <v>2</v>
      </c>
      <c r="K7" s="9" t="n">
        <f aca="false">SUMIFS(Rodadas!$O$2:$O$65,Rodadas!$F$2:$F$65,"Limpo",Rodadas!$C$2:$C$65,"Unitário")</f>
        <v>2</v>
      </c>
      <c r="L7" s="11" t="n">
        <f aca="false">IFERROR(K7/D7,0)</f>
        <v>0.0952380952380952</v>
      </c>
      <c r="M7" s="9" t="n">
        <f aca="false">COUNTIFS(Rodadas!$F$2:$F$65,"Limpo",Rodadas!$C$2:$C$65,"Unitário",Rodadas!$O$2:$O$65,3)</f>
        <v>0</v>
      </c>
      <c r="N7" s="9" t="n">
        <f aca="false">SUMIFS(Rodadas!$P$2:$P$65,Rodadas!$F$2:$F$65,"Limpo",Rodadas!$C$2:$C$65,"Unitário")</f>
        <v>32</v>
      </c>
      <c r="O7" s="9" t="n">
        <f aca="false">SUMIFS(Rodadas!$Q$2:$Q$65,Rodadas!$F$2:$F$65,"Limpo",Rodadas!$C$2:$C$65,"Unitário")</f>
        <v>10</v>
      </c>
      <c r="P7" s="9" t="n">
        <f aca="false">COUNTIFS(Rodadas!$F$2:$F$65,"Limpo",Rodadas!$C$2:$C$65,"Unitário",Rodadas!$Q$2:$Q$65,"&gt;0")</f>
        <v>8</v>
      </c>
      <c r="Q7" s="9" t="n">
        <f aca="false">COUNTIFS(Rodadas!$F$2:$F$65,"Limpo",Rodadas!$C$2:$C$65,"Unitário",Rodadas!$M$2:$M$65,"&lt;&gt;executa")</f>
        <v>0</v>
      </c>
    </row>
    <row r="8" customFormat="false" ht="15" hidden="false" customHeight="true" outlineLevel="0" collapsed="false">
      <c r="A8" s="5" t="s">
        <v>132</v>
      </c>
      <c r="B8" s="5" t="s">
        <v>71</v>
      </c>
      <c r="C8" s="5" t="s">
        <v>38</v>
      </c>
      <c r="D8" s="5" t="n">
        <f aca="false">COUNTIFS(Rodadas!$F$2:$F$65,"Limpo",Rodadas!$C$2:$C$65,"Widget",Rodadas!$D$2:$D$65,"ZS")</f>
        <v>3</v>
      </c>
      <c r="E8" s="5" t="n">
        <f aca="false">SUMIFS(Rodadas!$J$2:$J$65,Rodadas!$F$2:$F$65,"Limpo",Rodadas!$C$2:$C$65,"Widget",Rodadas!$D$2:$D$65,"ZS")</f>
        <v>19</v>
      </c>
      <c r="F8" s="5" t="n">
        <f aca="false">SUMIFS(Rodadas!$K$2:$K$65,Rodadas!$F$2:$F$65,"Limpo",Rodadas!$C$2:$C$65,"Widget",Rodadas!$D$2:$D$65,"ZS")</f>
        <v>19</v>
      </c>
      <c r="G8" s="7" t="n">
        <f aca="false">IFERROR(F8/E8,0)</f>
        <v>1</v>
      </c>
      <c r="H8" s="5" t="n">
        <f aca="false">COUNTIFS(Rodadas!$F$2:$F$65,"Limpo",Rodadas!$C$2:$C$65,"Widget",Rodadas!$D$2:$D$65,"ZS",Rodadas!$L$2:$L$65,0,Rodadas!$K$2:$K$65,"&gt;0")</f>
        <v>3</v>
      </c>
      <c r="I8" s="5" t="n">
        <f aca="false">COUNTIFS(Rodadas!$F$2:$F$65,"Limpo",Rodadas!$C$2:$C$65,"Widget",Rodadas!$D$2:$D$65,"ZS",Rodadas!$I$2:$I$65,"Sim")</f>
        <v>3</v>
      </c>
      <c r="J8" s="5" t="n">
        <f aca="false">COUNTIFS(Rodadas!$F$2:$F$65,"Limpo",Rodadas!$C$2:$C$65,"Widget",Rodadas!$D$2:$D$65,"ZS",Rodadas!$O$2:$O$65,"&gt;0")</f>
        <v>2</v>
      </c>
      <c r="K8" s="5" t="n">
        <f aca="false">SUMIFS(Rodadas!$O$2:$O$65,Rodadas!$F$2:$F$65,"Limpo",Rodadas!$C$2:$C$65,"Widget",Rodadas!$D$2:$D$65,"ZS")</f>
        <v>5</v>
      </c>
      <c r="L8" s="8" t="n">
        <f aca="false">IFERROR(K8/D8,0)</f>
        <v>1.66666666666667</v>
      </c>
      <c r="M8" s="5" t="n">
        <f aca="false">COUNTIFS(Rodadas!$F$2:$F$65,"Limpo",Rodadas!$C$2:$C$65,"Widget",Rodadas!$D$2:$D$65,"ZS",Rodadas!$O$2:$O$65,3)</f>
        <v>1</v>
      </c>
      <c r="N8" s="5" t="n">
        <f aca="false">SUMIFS(Rodadas!$P$2:$P$65,Rodadas!$F$2:$F$65,"Limpo",Rodadas!$C$2:$C$65,"Widget",Rodadas!$D$2:$D$65,"ZS")</f>
        <v>4</v>
      </c>
      <c r="O8" s="5" t="n">
        <f aca="false">SUMIFS(Rodadas!$Q$2:$Q$65,Rodadas!$F$2:$F$65,"Limpo",Rodadas!$C$2:$C$65,"Widget",Rodadas!$D$2:$D$65,"ZS")</f>
        <v>0</v>
      </c>
      <c r="P8" s="5" t="n">
        <f aca="false">COUNTIFS(Rodadas!$F$2:$F$65,"Limpo",Rodadas!$C$2:$C$65,"Widget",Rodadas!$D$2:$D$65,"ZS",Rodadas!$Q$2:$Q$65,"&gt;0")</f>
        <v>0</v>
      </c>
      <c r="Q8" s="5" t="n">
        <f aca="false">COUNTIFS(Rodadas!$F$2:$F$65,"Limpo",Rodadas!$C$2:$C$65,"Widget",Rodadas!$D$2:$D$65,"ZS",Rodadas!$M$2:$M$65,"&lt;&gt;executa")</f>
        <v>0</v>
      </c>
    </row>
    <row r="9" customFormat="false" ht="15" hidden="false" customHeight="true" outlineLevel="0" collapsed="false">
      <c r="A9" s="5" t="s">
        <v>132</v>
      </c>
      <c r="B9" s="5" t="s">
        <v>71</v>
      </c>
      <c r="C9" s="5" t="s">
        <v>51</v>
      </c>
      <c r="D9" s="5" t="n">
        <f aca="false">COUNTIFS(Rodadas!$F$2:$F$65,"Limpo",Rodadas!$C$2:$C$65,"Widget",Rodadas!$D$2:$D$65,"FS")</f>
        <v>3</v>
      </c>
      <c r="E9" s="5" t="n">
        <f aca="false">SUMIFS(Rodadas!$J$2:$J$65,Rodadas!$F$2:$F$65,"Limpo",Rodadas!$C$2:$C$65,"Widget",Rodadas!$D$2:$D$65,"FS")</f>
        <v>21</v>
      </c>
      <c r="F9" s="5" t="n">
        <f aca="false">SUMIFS(Rodadas!$K$2:$K$65,Rodadas!$F$2:$F$65,"Limpo",Rodadas!$C$2:$C$65,"Widget",Rodadas!$D$2:$D$65,"FS")</f>
        <v>21</v>
      </c>
      <c r="G9" s="7" t="n">
        <f aca="false">IFERROR(F9/E9,0)</f>
        <v>1</v>
      </c>
      <c r="H9" s="5" t="n">
        <f aca="false">COUNTIFS(Rodadas!$F$2:$F$65,"Limpo",Rodadas!$C$2:$C$65,"Widget",Rodadas!$D$2:$D$65,"FS",Rodadas!$L$2:$L$65,0,Rodadas!$K$2:$K$65,"&gt;0")</f>
        <v>3</v>
      </c>
      <c r="I9" s="5" t="n">
        <f aca="false">COUNTIFS(Rodadas!$F$2:$F$65,"Limpo",Rodadas!$C$2:$C$65,"Widget",Rodadas!$D$2:$D$65,"FS",Rodadas!$I$2:$I$65,"Sim")</f>
        <v>3</v>
      </c>
      <c r="J9" s="5" t="n">
        <f aca="false">COUNTIFS(Rodadas!$F$2:$F$65,"Limpo",Rodadas!$C$2:$C$65,"Widget",Rodadas!$D$2:$D$65,"FS",Rodadas!$O$2:$O$65,"&gt;0")</f>
        <v>2</v>
      </c>
      <c r="K9" s="5" t="n">
        <f aca="false">SUMIFS(Rodadas!$O$2:$O$65,Rodadas!$F$2:$F$65,"Limpo",Rodadas!$C$2:$C$65,"Widget",Rodadas!$D$2:$D$65,"FS")</f>
        <v>3</v>
      </c>
      <c r="L9" s="8" t="n">
        <f aca="false">IFERROR(K9/D9,0)</f>
        <v>1</v>
      </c>
      <c r="M9" s="5" t="n">
        <f aca="false">COUNTIFS(Rodadas!$F$2:$F$65,"Limpo",Rodadas!$C$2:$C$65,"Widget",Rodadas!$D$2:$D$65,"FS",Rodadas!$O$2:$O$65,3)</f>
        <v>0</v>
      </c>
      <c r="N9" s="5" t="n">
        <f aca="false">SUMIFS(Rodadas!$P$2:$P$65,Rodadas!$F$2:$F$65,"Limpo",Rodadas!$C$2:$C$65,"Widget",Rodadas!$D$2:$D$65,"FS")</f>
        <v>6</v>
      </c>
      <c r="O9" s="5" t="n">
        <f aca="false">SUMIFS(Rodadas!$Q$2:$Q$65,Rodadas!$F$2:$F$65,"Limpo",Rodadas!$C$2:$C$65,"Widget",Rodadas!$D$2:$D$65,"FS")</f>
        <v>3</v>
      </c>
      <c r="P9" s="5" t="n">
        <f aca="false">COUNTIFS(Rodadas!$F$2:$F$65,"Limpo",Rodadas!$C$2:$C$65,"Widget",Rodadas!$D$2:$D$65,"FS",Rodadas!$Q$2:$Q$65,"&gt;0")</f>
        <v>3</v>
      </c>
      <c r="Q9" s="5" t="n">
        <f aca="false">COUNTIFS(Rodadas!$F$2:$F$65,"Limpo",Rodadas!$C$2:$C$65,"Widget",Rodadas!$D$2:$D$65,"FS",Rodadas!$M$2:$M$65,"&lt;&gt;executa")</f>
        <v>0</v>
      </c>
    </row>
    <row r="10" customFormat="false" ht="15" hidden="false" customHeight="true" outlineLevel="0" collapsed="false">
      <c r="A10" s="5" t="s">
        <v>132</v>
      </c>
      <c r="B10" s="5" t="s">
        <v>71</v>
      </c>
      <c r="C10" s="5" t="s">
        <v>56</v>
      </c>
      <c r="D10" s="5" t="n">
        <f aca="false">COUNTIFS(Rodadas!$F$2:$F$65,"Limpo",Rodadas!$C$2:$C$65,"Widget",Rodadas!$D$2:$D$65,"COT")</f>
        <v>3</v>
      </c>
      <c r="E10" s="5" t="n">
        <f aca="false">SUMIFS(Rodadas!$J$2:$J$65,Rodadas!$F$2:$F$65,"Limpo",Rodadas!$C$2:$C$65,"Widget",Rodadas!$D$2:$D$65,"COT")</f>
        <v>31</v>
      </c>
      <c r="F10" s="5" t="n">
        <f aca="false">SUMIFS(Rodadas!$K$2:$K$65,Rodadas!$F$2:$F$65,"Limpo",Rodadas!$C$2:$C$65,"Widget",Rodadas!$D$2:$D$65,"COT")</f>
        <v>15</v>
      </c>
      <c r="G10" s="7" t="n">
        <f aca="false">IFERROR(F10/E10,0)</f>
        <v>0.483870967741936</v>
      </c>
      <c r="H10" s="5" t="n">
        <f aca="false">COUNTIFS(Rodadas!$F$2:$F$65,"Limpo",Rodadas!$C$2:$C$65,"Widget",Rodadas!$D$2:$D$65,"COT",Rodadas!$L$2:$L$65,0,Rodadas!$K$2:$K$65,"&gt;0")</f>
        <v>0</v>
      </c>
      <c r="I10" s="5" t="n">
        <f aca="false">COUNTIFS(Rodadas!$F$2:$F$65,"Limpo",Rodadas!$C$2:$C$65,"Widget",Rodadas!$D$2:$D$65,"COT",Rodadas!$I$2:$I$65,"Sim")</f>
        <v>0</v>
      </c>
      <c r="J10" s="5" t="n">
        <f aca="false">COUNTIFS(Rodadas!$F$2:$F$65,"Limpo",Rodadas!$C$2:$C$65,"Widget",Rodadas!$D$2:$D$65,"COT",Rodadas!$O$2:$O$65,"&gt;0")</f>
        <v>3</v>
      </c>
      <c r="K10" s="5" t="n">
        <f aca="false">SUMIFS(Rodadas!$O$2:$O$65,Rodadas!$F$2:$F$65,"Limpo",Rodadas!$C$2:$C$65,"Widget",Rodadas!$D$2:$D$65,"COT")</f>
        <v>9</v>
      </c>
      <c r="L10" s="8" t="n">
        <f aca="false">IFERROR(K10/D10,0)</f>
        <v>3</v>
      </c>
      <c r="M10" s="5" t="n">
        <f aca="false">COUNTIFS(Rodadas!$F$2:$F$65,"Limpo",Rodadas!$C$2:$C$65,"Widget",Rodadas!$D$2:$D$65,"COT",Rodadas!$O$2:$O$65,3)</f>
        <v>3</v>
      </c>
      <c r="N10" s="5" t="n">
        <f aca="false">SUMIFS(Rodadas!$P$2:$P$65,Rodadas!$F$2:$F$65,"Limpo",Rodadas!$C$2:$C$65,"Widget",Rodadas!$D$2:$D$65,"COT")</f>
        <v>7</v>
      </c>
      <c r="O10" s="5" t="n">
        <f aca="false">SUMIFS(Rodadas!$Q$2:$Q$65,Rodadas!$F$2:$F$65,"Limpo",Rodadas!$C$2:$C$65,"Widget",Rodadas!$D$2:$D$65,"COT")</f>
        <v>3</v>
      </c>
      <c r="P10" s="5" t="n">
        <f aca="false">COUNTIFS(Rodadas!$F$2:$F$65,"Limpo",Rodadas!$C$2:$C$65,"Widget",Rodadas!$D$2:$D$65,"COT",Rodadas!$Q$2:$Q$65,"&gt;0")</f>
        <v>2</v>
      </c>
      <c r="Q10" s="5" t="n">
        <f aca="false">COUNTIFS(Rodadas!$F$2:$F$65,"Limpo",Rodadas!$C$2:$C$65,"Widget",Rodadas!$D$2:$D$65,"COT",Rodadas!$M$2:$M$65,"&lt;&gt;executa")</f>
        <v>0</v>
      </c>
    </row>
    <row r="11" customFormat="false" ht="15" hidden="false" customHeight="true" outlineLevel="0" collapsed="false">
      <c r="A11" s="9" t="s">
        <v>132</v>
      </c>
      <c r="B11" s="9" t="s">
        <v>71</v>
      </c>
      <c r="C11" s="9" t="s">
        <v>261</v>
      </c>
      <c r="D11" s="9" t="n">
        <f aca="false">COUNTIFS(Rodadas!$F$2:$F$65,"Limpo",Rodadas!$C$2:$C$65,"Widget")</f>
        <v>9</v>
      </c>
      <c r="E11" s="9" t="n">
        <f aca="false">SUMIFS(Rodadas!$J$2:$J$65,Rodadas!$F$2:$F$65,"Limpo",Rodadas!$C$2:$C$65,"Widget")</f>
        <v>71</v>
      </c>
      <c r="F11" s="9" t="n">
        <f aca="false">SUMIFS(Rodadas!$K$2:$K$65,Rodadas!$F$2:$F$65,"Limpo",Rodadas!$C$2:$C$65,"Widget")</f>
        <v>55</v>
      </c>
      <c r="G11" s="10" t="n">
        <f aca="false">IFERROR(F11/E11,0)</f>
        <v>0.774647887323944</v>
      </c>
      <c r="H11" s="9" t="n">
        <f aca="false">COUNTIFS(Rodadas!$F$2:$F$65,"Limpo",Rodadas!$C$2:$C$65,"Widget",Rodadas!$L$2:$L$65,0,Rodadas!$K$2:$K$65,"&gt;0")</f>
        <v>6</v>
      </c>
      <c r="I11" s="9" t="n">
        <f aca="false">COUNTIFS(Rodadas!$F$2:$F$65,"Limpo",Rodadas!$C$2:$C$65,"Widget",Rodadas!$I$2:$I$65,"Sim")</f>
        <v>6</v>
      </c>
      <c r="J11" s="9" t="n">
        <f aca="false">COUNTIFS(Rodadas!$F$2:$F$65,"Limpo",Rodadas!$C$2:$C$65,"Widget",Rodadas!$O$2:$O$65,"&gt;0")</f>
        <v>7</v>
      </c>
      <c r="K11" s="9" t="n">
        <f aca="false">SUMIFS(Rodadas!$O$2:$O$65,Rodadas!$F$2:$F$65,"Limpo",Rodadas!$C$2:$C$65,"Widget")</f>
        <v>17</v>
      </c>
      <c r="L11" s="11" t="n">
        <f aca="false">IFERROR(K11/D11,0)</f>
        <v>1.88888888888889</v>
      </c>
      <c r="M11" s="9" t="n">
        <f aca="false">COUNTIFS(Rodadas!$F$2:$F$65,"Limpo",Rodadas!$C$2:$C$65,"Widget",Rodadas!$O$2:$O$65,3)</f>
        <v>4</v>
      </c>
      <c r="N11" s="9" t="n">
        <f aca="false">SUMIFS(Rodadas!$P$2:$P$65,Rodadas!$F$2:$F$65,"Limpo",Rodadas!$C$2:$C$65,"Widget")</f>
        <v>17</v>
      </c>
      <c r="O11" s="9" t="n">
        <f aca="false">SUMIFS(Rodadas!$Q$2:$Q$65,Rodadas!$F$2:$F$65,"Limpo",Rodadas!$C$2:$C$65,"Widget")</f>
        <v>6</v>
      </c>
      <c r="P11" s="9" t="n">
        <f aca="false">COUNTIFS(Rodadas!$F$2:$F$65,"Limpo",Rodadas!$C$2:$C$65,"Widget",Rodadas!$Q$2:$Q$65,"&gt;0")</f>
        <v>5</v>
      </c>
      <c r="Q11" s="9" t="n">
        <f aca="false">COUNTIFS(Rodadas!$F$2:$F$65,"Limpo",Rodadas!$C$2:$C$65,"Widget",Rodadas!$M$2:$M$65,"&lt;&gt;executa")</f>
        <v>0</v>
      </c>
    </row>
    <row r="12" customFormat="false" ht="15" hidden="false" customHeight="true" outlineLevel="0" collapsed="false">
      <c r="A12" s="5" t="s">
        <v>132</v>
      </c>
      <c r="B12" s="5" t="s">
        <v>102</v>
      </c>
      <c r="C12" s="5" t="s">
        <v>38</v>
      </c>
      <c r="D12" s="5" t="n">
        <f aca="false">COUNTIFS(Rodadas!$F$2:$F$65,"Limpo",Rodadas!$C$2:$C$65,"Integração",Rodadas!$D$2:$D$65,"ZS")</f>
        <v>3</v>
      </c>
      <c r="E12" s="5" t="n">
        <f aca="false">SUMIFS(Rodadas!$J$2:$J$65,Rodadas!$F$2:$F$65,"Limpo",Rodadas!$C$2:$C$65,"Integração",Rodadas!$D$2:$D$65,"ZS")</f>
        <v>14</v>
      </c>
      <c r="F12" s="5" t="n">
        <f aca="false">SUMIFS(Rodadas!$K$2:$K$65,Rodadas!$F$2:$F$65,"Limpo",Rodadas!$C$2:$C$65,"Integração",Rodadas!$D$2:$D$65,"ZS")</f>
        <v>9</v>
      </c>
      <c r="G12" s="7" t="n">
        <f aca="false">IFERROR(F12/E12,0)</f>
        <v>0.642857142857143</v>
      </c>
      <c r="H12" s="5" t="n">
        <f aca="false">COUNTIFS(Rodadas!$F$2:$F$65,"Limpo",Rodadas!$C$2:$C$65,"Integração",Rodadas!$D$2:$D$65,"ZS",Rodadas!$L$2:$L$65,0,Rodadas!$K$2:$K$65,"&gt;0")</f>
        <v>1</v>
      </c>
      <c r="I12" s="5" t="n">
        <f aca="false">COUNTIFS(Rodadas!$F$2:$F$65,"Limpo",Rodadas!$C$2:$C$65,"Integração",Rodadas!$D$2:$D$65,"ZS",Rodadas!$I$2:$I$65,"Sim")</f>
        <v>1</v>
      </c>
      <c r="J12" s="5" t="n">
        <f aca="false">COUNTIFS(Rodadas!$F$2:$F$65,"Limpo",Rodadas!$C$2:$C$65,"Integração",Rodadas!$D$2:$D$65,"ZS",Rodadas!$O$2:$O$65,"&gt;0")</f>
        <v>2</v>
      </c>
      <c r="K12" s="5" t="n">
        <f aca="false">SUMIFS(Rodadas!$O$2:$O$65,Rodadas!$F$2:$F$65,"Limpo",Rodadas!$C$2:$C$65,"Integração",Rodadas!$D$2:$D$65,"ZS")</f>
        <v>6</v>
      </c>
      <c r="L12" s="8" t="n">
        <f aca="false">IFERROR(K12/D12,0)</f>
        <v>2</v>
      </c>
      <c r="M12" s="5" t="n">
        <f aca="false">COUNTIFS(Rodadas!$F$2:$F$65,"Limpo",Rodadas!$C$2:$C$65,"Integração",Rodadas!$D$2:$D$65,"ZS",Rodadas!$O$2:$O$65,3)</f>
        <v>2</v>
      </c>
      <c r="N12" s="5" t="n">
        <f aca="false">SUMIFS(Rodadas!$P$2:$P$65,Rodadas!$F$2:$F$65,"Limpo",Rodadas!$C$2:$C$65,"Integração",Rodadas!$D$2:$D$65,"ZS")</f>
        <v>3</v>
      </c>
      <c r="O12" s="5" t="n">
        <f aca="false">SUMIFS(Rodadas!$Q$2:$Q$65,Rodadas!$F$2:$F$65,"Limpo",Rodadas!$C$2:$C$65,"Integração",Rodadas!$D$2:$D$65,"ZS")</f>
        <v>0</v>
      </c>
      <c r="P12" s="5" t="n">
        <f aca="false">COUNTIFS(Rodadas!$F$2:$F$65,"Limpo",Rodadas!$C$2:$C$65,"Integração",Rodadas!$D$2:$D$65,"ZS",Rodadas!$Q$2:$Q$65,"&gt;0")</f>
        <v>0</v>
      </c>
      <c r="Q12" s="5" t="n">
        <f aca="false">COUNTIFS(Rodadas!$F$2:$F$65,"Limpo",Rodadas!$C$2:$C$65,"Integração",Rodadas!$D$2:$D$65,"ZS",Rodadas!$M$2:$M$65,"&lt;&gt;executa")</f>
        <v>1</v>
      </c>
    </row>
    <row r="13" customFormat="false" ht="15" hidden="false" customHeight="true" outlineLevel="0" collapsed="false">
      <c r="A13" s="5" t="s">
        <v>132</v>
      </c>
      <c r="B13" s="5" t="s">
        <v>102</v>
      </c>
      <c r="C13" s="5" t="s">
        <v>51</v>
      </c>
      <c r="D13" s="5" t="n">
        <f aca="false">COUNTIFS(Rodadas!$F$2:$F$65,"Limpo",Rodadas!$C$2:$C$65,"Integração",Rodadas!$D$2:$D$65,"FS")</f>
        <v>3</v>
      </c>
      <c r="E13" s="5" t="n">
        <f aca="false">SUMIFS(Rodadas!$J$2:$J$65,Rodadas!$F$2:$F$65,"Limpo",Rodadas!$C$2:$C$65,"Integração",Rodadas!$D$2:$D$65,"FS")</f>
        <v>8</v>
      </c>
      <c r="F13" s="5" t="n">
        <f aca="false">SUMIFS(Rodadas!$K$2:$K$65,Rodadas!$F$2:$F$65,"Limpo",Rodadas!$C$2:$C$65,"Integração",Rodadas!$D$2:$D$65,"FS")</f>
        <v>3</v>
      </c>
      <c r="G13" s="7" t="n">
        <f aca="false">IFERROR(F13/E13,0)</f>
        <v>0.375</v>
      </c>
      <c r="H13" s="5" t="n">
        <f aca="false">COUNTIFS(Rodadas!$F$2:$F$65,"Limpo",Rodadas!$C$2:$C$65,"Integração",Rodadas!$D$2:$D$65,"FS",Rodadas!$L$2:$L$65,0,Rodadas!$K$2:$K$65,"&gt;0")</f>
        <v>1</v>
      </c>
      <c r="I13" s="5" t="n">
        <f aca="false">COUNTIFS(Rodadas!$F$2:$F$65,"Limpo",Rodadas!$C$2:$C$65,"Integração",Rodadas!$D$2:$D$65,"FS",Rodadas!$I$2:$I$65,"Sim")</f>
        <v>1</v>
      </c>
      <c r="J13" s="5" t="n">
        <f aca="false">COUNTIFS(Rodadas!$F$2:$F$65,"Limpo",Rodadas!$C$2:$C$65,"Integração",Rodadas!$D$2:$D$65,"FS",Rodadas!$O$2:$O$65,"&gt;0")</f>
        <v>2</v>
      </c>
      <c r="K13" s="5" t="n">
        <f aca="false">SUMIFS(Rodadas!$O$2:$O$65,Rodadas!$F$2:$F$65,"Limpo",Rodadas!$C$2:$C$65,"Integração",Rodadas!$D$2:$D$65,"FS")</f>
        <v>6</v>
      </c>
      <c r="L13" s="8" t="n">
        <f aca="false">IFERROR(K13/D13,0)</f>
        <v>2</v>
      </c>
      <c r="M13" s="5" t="n">
        <f aca="false">COUNTIFS(Rodadas!$F$2:$F$65,"Limpo",Rodadas!$C$2:$C$65,"Integração",Rodadas!$D$2:$D$65,"FS",Rodadas!$O$2:$O$65,3)</f>
        <v>2</v>
      </c>
      <c r="N13" s="5" t="n">
        <f aca="false">SUMIFS(Rodadas!$P$2:$P$65,Rodadas!$F$2:$F$65,"Limpo",Rodadas!$C$2:$C$65,"Integração",Rodadas!$D$2:$D$65,"FS")</f>
        <v>4</v>
      </c>
      <c r="O13" s="5" t="n">
        <f aca="false">SUMIFS(Rodadas!$Q$2:$Q$65,Rodadas!$F$2:$F$65,"Limpo",Rodadas!$C$2:$C$65,"Integração",Rodadas!$D$2:$D$65,"FS")</f>
        <v>1</v>
      </c>
      <c r="P13" s="5" t="n">
        <f aca="false">COUNTIFS(Rodadas!$F$2:$F$65,"Limpo",Rodadas!$C$2:$C$65,"Integração",Rodadas!$D$2:$D$65,"FS",Rodadas!$Q$2:$Q$65,"&gt;0")</f>
        <v>1</v>
      </c>
      <c r="Q13" s="5" t="n">
        <f aca="false">COUNTIFS(Rodadas!$F$2:$F$65,"Limpo",Rodadas!$C$2:$C$65,"Integração",Rodadas!$D$2:$D$65,"FS",Rodadas!$M$2:$M$65,"&lt;&gt;executa")</f>
        <v>0</v>
      </c>
    </row>
    <row r="14" customFormat="false" ht="15" hidden="false" customHeight="true" outlineLevel="0" collapsed="false">
      <c r="A14" s="5" t="s">
        <v>132</v>
      </c>
      <c r="B14" s="5" t="s">
        <v>102</v>
      </c>
      <c r="C14" s="5" t="s">
        <v>56</v>
      </c>
      <c r="D14" s="5" t="n">
        <f aca="false">COUNTIFS(Rodadas!$F$2:$F$65,"Limpo",Rodadas!$C$2:$C$65,"Integração",Rodadas!$D$2:$D$65,"COT")</f>
        <v>3</v>
      </c>
      <c r="E14" s="5" t="n">
        <f aca="false">SUMIFS(Rodadas!$J$2:$J$65,Rodadas!$F$2:$F$65,"Limpo",Rodadas!$C$2:$C$65,"Integração",Rodadas!$D$2:$D$65,"COT")</f>
        <v>19</v>
      </c>
      <c r="F14" s="5" t="n">
        <f aca="false">SUMIFS(Rodadas!$K$2:$K$65,Rodadas!$F$2:$F$65,"Limpo",Rodadas!$C$2:$C$65,"Integração",Rodadas!$D$2:$D$65,"COT")</f>
        <v>11</v>
      </c>
      <c r="G14" s="7" t="n">
        <f aca="false">IFERROR(F14/E14,0)</f>
        <v>0.578947368421053</v>
      </c>
      <c r="H14" s="5" t="n">
        <f aca="false">COUNTIFS(Rodadas!$F$2:$F$65,"Limpo",Rodadas!$C$2:$C$65,"Integração",Rodadas!$D$2:$D$65,"COT",Rodadas!$L$2:$L$65,0,Rodadas!$K$2:$K$65,"&gt;0")</f>
        <v>2</v>
      </c>
      <c r="I14" s="5" t="n">
        <f aca="false">COUNTIFS(Rodadas!$F$2:$F$65,"Limpo",Rodadas!$C$2:$C$65,"Integração",Rodadas!$D$2:$D$65,"COT",Rodadas!$I$2:$I$65,"Sim")</f>
        <v>2</v>
      </c>
      <c r="J14" s="5" t="n">
        <f aca="false">COUNTIFS(Rodadas!$F$2:$F$65,"Limpo",Rodadas!$C$2:$C$65,"Integração",Rodadas!$D$2:$D$65,"COT",Rodadas!$O$2:$O$65,"&gt;0")</f>
        <v>3</v>
      </c>
      <c r="K14" s="5" t="n">
        <f aca="false">SUMIFS(Rodadas!$O$2:$O$65,Rodadas!$F$2:$F$65,"Limpo",Rodadas!$C$2:$C$65,"Integração",Rodadas!$D$2:$D$65,"COT")</f>
        <v>8</v>
      </c>
      <c r="L14" s="8" t="n">
        <f aca="false">IFERROR(K14/D14,0)</f>
        <v>2.66666666666667</v>
      </c>
      <c r="M14" s="5" t="n">
        <f aca="false">COUNTIFS(Rodadas!$F$2:$F$65,"Limpo",Rodadas!$C$2:$C$65,"Integração",Rodadas!$D$2:$D$65,"COT",Rodadas!$O$2:$O$65,3)</f>
        <v>2</v>
      </c>
      <c r="N14" s="5" t="n">
        <f aca="false">SUMIFS(Rodadas!$P$2:$P$65,Rodadas!$F$2:$F$65,"Limpo",Rodadas!$C$2:$C$65,"Integração",Rodadas!$D$2:$D$65,"COT")</f>
        <v>3</v>
      </c>
      <c r="O14" s="5" t="n">
        <f aca="false">SUMIFS(Rodadas!$Q$2:$Q$65,Rodadas!$F$2:$F$65,"Limpo",Rodadas!$C$2:$C$65,"Integração",Rodadas!$D$2:$D$65,"COT")</f>
        <v>0</v>
      </c>
      <c r="P14" s="5" t="n">
        <f aca="false">COUNTIFS(Rodadas!$F$2:$F$65,"Limpo",Rodadas!$C$2:$C$65,"Integração",Rodadas!$D$2:$D$65,"COT",Rodadas!$Q$2:$Q$65,"&gt;0")</f>
        <v>0</v>
      </c>
      <c r="Q14" s="5" t="n">
        <f aca="false">COUNTIFS(Rodadas!$F$2:$F$65,"Limpo",Rodadas!$C$2:$C$65,"Integração",Rodadas!$D$2:$D$65,"COT",Rodadas!$M$2:$M$65,"&lt;&gt;executa")</f>
        <v>1</v>
      </c>
    </row>
    <row r="15" customFormat="false" ht="15" hidden="false" customHeight="true" outlineLevel="0" collapsed="false">
      <c r="A15" s="9" t="s">
        <v>132</v>
      </c>
      <c r="B15" s="9" t="s">
        <v>102</v>
      </c>
      <c r="C15" s="9" t="s">
        <v>261</v>
      </c>
      <c r="D15" s="9" t="n">
        <f aca="false">COUNTIFS(Rodadas!$F$2:$F$65,"Limpo",Rodadas!$C$2:$C$65,"Integração")</f>
        <v>9</v>
      </c>
      <c r="E15" s="9" t="n">
        <f aca="false">SUMIFS(Rodadas!$J$2:$J$65,Rodadas!$F$2:$F$65,"Limpo",Rodadas!$C$2:$C$65,"Integração")</f>
        <v>41</v>
      </c>
      <c r="F15" s="9" t="n">
        <f aca="false">SUMIFS(Rodadas!$K$2:$K$65,Rodadas!$F$2:$F$65,"Limpo",Rodadas!$C$2:$C$65,"Integração")</f>
        <v>23</v>
      </c>
      <c r="G15" s="10" t="n">
        <f aca="false">IFERROR(F15/E15,0)</f>
        <v>0.560975609756098</v>
      </c>
      <c r="H15" s="9" t="n">
        <f aca="false">COUNTIFS(Rodadas!$F$2:$F$65,"Limpo",Rodadas!$C$2:$C$65,"Integração",Rodadas!$L$2:$L$65,0,Rodadas!$K$2:$K$65,"&gt;0")</f>
        <v>4</v>
      </c>
      <c r="I15" s="9" t="n">
        <f aca="false">COUNTIFS(Rodadas!$F$2:$F$65,"Limpo",Rodadas!$C$2:$C$65,"Integração",Rodadas!$I$2:$I$65,"Sim")</f>
        <v>4</v>
      </c>
      <c r="J15" s="9" t="n">
        <f aca="false">COUNTIFS(Rodadas!$F$2:$F$65,"Limpo",Rodadas!$C$2:$C$65,"Integração",Rodadas!$O$2:$O$65,"&gt;0")</f>
        <v>7</v>
      </c>
      <c r="K15" s="9" t="n">
        <f aca="false">SUMIFS(Rodadas!$O$2:$O$65,Rodadas!$F$2:$F$65,"Limpo",Rodadas!$C$2:$C$65,"Integração")</f>
        <v>20</v>
      </c>
      <c r="L15" s="11" t="n">
        <f aca="false">IFERROR(K15/D15,0)</f>
        <v>2.22222222222222</v>
      </c>
      <c r="M15" s="9" t="n">
        <f aca="false">COUNTIFS(Rodadas!$F$2:$F$65,"Limpo",Rodadas!$C$2:$C$65,"Integração",Rodadas!$O$2:$O$65,3)</f>
        <v>6</v>
      </c>
      <c r="N15" s="9" t="n">
        <f aca="false">SUMIFS(Rodadas!$P$2:$P$65,Rodadas!$F$2:$F$65,"Limpo",Rodadas!$C$2:$C$65,"Integração")</f>
        <v>10</v>
      </c>
      <c r="O15" s="9" t="n">
        <f aca="false">SUMIFS(Rodadas!$Q$2:$Q$65,Rodadas!$F$2:$F$65,"Limpo",Rodadas!$C$2:$C$65,"Integração")</f>
        <v>1</v>
      </c>
      <c r="P15" s="9" t="n">
        <f aca="false">COUNTIFS(Rodadas!$F$2:$F$65,"Limpo",Rodadas!$C$2:$C$65,"Integração",Rodadas!$Q$2:$Q$65,"&gt;0")</f>
        <v>1</v>
      </c>
      <c r="Q15" s="9" t="n">
        <f aca="false">COUNTIFS(Rodadas!$F$2:$F$65,"Limpo",Rodadas!$C$2:$C$65,"Integração",Rodadas!$M$2:$M$65,"&lt;&gt;executa")</f>
        <v>2</v>
      </c>
    </row>
    <row r="16" customFormat="false" ht="15" hidden="false" customHeight="true" outlineLevel="0" collapsed="false">
      <c r="A16" s="12" t="s">
        <v>132</v>
      </c>
      <c r="B16" s="12" t="s">
        <v>262</v>
      </c>
      <c r="C16" s="12" t="s">
        <v>261</v>
      </c>
      <c r="D16" s="12" t="n">
        <f aca="false">COUNTIFS(Rodadas!$F$2:$F$65,"Limpo")</f>
        <v>39</v>
      </c>
      <c r="E16" s="12" t="n">
        <f aca="false">SUMIFS(Rodadas!$J$2:$J$65,Rodadas!$F$2:$F$65,"Limpo")</f>
        <v>376</v>
      </c>
      <c r="F16" s="12" t="n">
        <f aca="false">SUMIFS(Rodadas!$K$2:$K$65,Rodadas!$F$2:$F$65,"Limpo")</f>
        <v>342</v>
      </c>
      <c r="G16" s="13" t="n">
        <f aca="false">IFERROR(F16/E16,0)</f>
        <v>0.909574468085106</v>
      </c>
      <c r="H16" s="12" t="n">
        <f aca="false">COUNTIFS(Rodadas!$F$2:$F$65,"Limpo",Rodadas!$L$2:$L$65,0,Rodadas!$K$2:$K$65,"&gt;0")</f>
        <v>31</v>
      </c>
      <c r="I16" s="12" t="n">
        <f aca="false">COUNTIFS(Rodadas!$F$2:$F$65,"Limpo",Rodadas!$I$2:$I$65,"Sim")</f>
        <v>31</v>
      </c>
      <c r="J16" s="12" t="n">
        <f aca="false">COUNTIFS(Rodadas!$F$2:$F$65,"Limpo",Rodadas!$O$2:$O$65,"&gt;0")</f>
        <v>16</v>
      </c>
      <c r="K16" s="12" t="n">
        <f aca="false">SUMIFS(Rodadas!$O$2:$O$65,Rodadas!$F$2:$F$65,"Limpo")</f>
        <v>39</v>
      </c>
      <c r="L16" s="14" t="n">
        <f aca="false">IFERROR(K16/D16,0)</f>
        <v>1</v>
      </c>
      <c r="M16" s="12" t="n">
        <f aca="false">COUNTIFS(Rodadas!$F$2:$F$65,"Limpo",Rodadas!$O$2:$O$65,3)</f>
        <v>10</v>
      </c>
      <c r="N16" s="12" t="n">
        <f aca="false">SUMIFS(Rodadas!$P$2:$P$65,Rodadas!$F$2:$F$65,"Limpo")</f>
        <v>59</v>
      </c>
      <c r="O16" s="12" t="n">
        <f aca="false">SUMIFS(Rodadas!$Q$2:$Q$65,Rodadas!$F$2:$F$65,"Limpo")</f>
        <v>17</v>
      </c>
      <c r="P16" s="12" t="n">
        <f aca="false">COUNTIFS(Rodadas!$F$2:$F$65,"Limpo",Rodadas!$Q$2:$Q$65,"&gt;0")</f>
        <v>14</v>
      </c>
      <c r="Q16" s="12" t="n">
        <f aca="false">COUNTIFS(Rodadas!$F$2:$F$65,"Limpo",Rodadas!$M$2:$M$65,"&lt;&gt;executa")</f>
        <v>2</v>
      </c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7"/>
      <c r="H17" s="5"/>
      <c r="I17" s="5"/>
      <c r="J17" s="5"/>
      <c r="K17" s="5"/>
      <c r="L17" s="8"/>
      <c r="M17" s="5"/>
      <c r="N17" s="5"/>
      <c r="O17" s="5"/>
      <c r="P17" s="5"/>
      <c r="Q17" s="5"/>
    </row>
    <row r="18" customFormat="false" ht="15" hidden="false" customHeight="true" outlineLevel="0" collapsed="false">
      <c r="A18" s="5" t="s">
        <v>40</v>
      </c>
      <c r="B18" s="5" t="s">
        <v>37</v>
      </c>
      <c r="C18" s="5" t="s">
        <v>38</v>
      </c>
      <c r="D18" s="5" t="n">
        <f aca="false">COUNTIFS(Rodadas!$F$2:$F$65,"Bug plantado",Rodadas!$C$2:$C$65,"Unitário",Rodadas!$D$2:$D$65,"ZS")</f>
        <v>2</v>
      </c>
      <c r="E18" s="5" t="n">
        <f aca="false">SUMIFS(Rodadas!$J$2:$J$65,Rodadas!$F$2:$F$65,"Bug plantado",Rodadas!$C$2:$C$65,"Unitário",Rodadas!$D$2:$D$65,"ZS")</f>
        <v>18</v>
      </c>
      <c r="F18" s="5" t="n">
        <f aca="false">SUMIFS(Rodadas!$K$2:$K$65,Rodadas!$F$2:$F$65,"Bug plantado",Rodadas!$C$2:$C$65,"Unitário",Rodadas!$D$2:$D$65,"ZS")</f>
        <v>18</v>
      </c>
      <c r="G18" s="7" t="n">
        <f aca="false">IFERROR(F18/E18,0)</f>
        <v>1</v>
      </c>
      <c r="H18" s="5" t="n">
        <f aca="false">COUNTIFS(Rodadas!$F$2:$F$65,"Bug plantado",Rodadas!$C$2:$C$65,"Unitário",Rodadas!$D$2:$D$65,"ZS",Rodadas!$L$2:$L$65,0,Rodadas!$K$2:$K$65,"&gt;0")</f>
        <v>2</v>
      </c>
      <c r="I18" s="5" t="n">
        <f aca="false">COUNTIFS(Rodadas!$F$2:$F$65,"Bug plantado",Rodadas!$C$2:$C$65,"Unitário",Rodadas!$D$2:$D$65,"ZS",Rodadas!$I$2:$I$65,"Sim")</f>
        <v>2</v>
      </c>
      <c r="J18" s="5" t="n">
        <f aca="false">COUNTIFS(Rodadas!$F$2:$F$65,"Bug plantado",Rodadas!$C$2:$C$65,"Unitário",Rodadas!$D$2:$D$65,"ZS",Rodadas!$O$2:$O$65,"&gt;0")</f>
        <v>0</v>
      </c>
      <c r="K18" s="5" t="n">
        <f aca="false">SUMIFS(Rodadas!$O$2:$O$65,Rodadas!$F$2:$F$65,"Bug plantado",Rodadas!$C$2:$C$65,"Unitário",Rodadas!$D$2:$D$65,"ZS")</f>
        <v>0</v>
      </c>
      <c r="L18" s="8" t="n">
        <f aca="false">IFERROR(K18/D18,0)</f>
        <v>0</v>
      </c>
      <c r="M18" s="5" t="n">
        <f aca="false">COUNTIFS(Rodadas!$F$2:$F$65,"Bug plantado",Rodadas!$C$2:$C$65,"Unitário",Rodadas!$D$2:$D$65,"ZS",Rodadas!$O$2:$O$65,3)</f>
        <v>0</v>
      </c>
      <c r="N18" s="5" t="n">
        <f aca="false">SUMIFS(Rodadas!$P$2:$P$65,Rodadas!$F$2:$F$65,"Bug plantado",Rodadas!$C$2:$C$65,"Unitário",Rodadas!$D$2:$D$65,"ZS")</f>
        <v>2</v>
      </c>
      <c r="O18" s="5" t="n">
        <f aca="false">SUMIFS(Rodadas!$Q$2:$Q$65,Rodadas!$F$2:$F$65,"Bug plantado",Rodadas!$C$2:$C$65,"Unitário",Rodadas!$D$2:$D$65,"ZS")</f>
        <v>0</v>
      </c>
      <c r="P18" s="5" t="n">
        <f aca="false">COUNTIFS(Rodadas!$F$2:$F$65,"Bug plantado",Rodadas!$C$2:$C$65,"Unitário",Rodadas!$D$2:$D$65,"ZS",Rodadas!$Q$2:$Q$65,"&gt;0")</f>
        <v>0</v>
      </c>
      <c r="Q18" s="5" t="n">
        <f aca="false">COUNTIFS(Rodadas!$F$2:$F$65,"Bug plantado",Rodadas!$C$2:$C$65,"Unitário",Rodadas!$D$2:$D$65,"ZS",Rodadas!$M$2:$M$65,"&lt;&gt;executa")</f>
        <v>0</v>
      </c>
    </row>
    <row r="19" customFormat="false" ht="15" hidden="false" customHeight="true" outlineLevel="0" collapsed="false">
      <c r="A19" s="5" t="s">
        <v>40</v>
      </c>
      <c r="B19" s="5" t="s">
        <v>37</v>
      </c>
      <c r="C19" s="5" t="s">
        <v>51</v>
      </c>
      <c r="D19" s="5" t="n">
        <f aca="false">COUNTIFS(Rodadas!$F$2:$F$65,"Bug plantado",Rodadas!$C$2:$C$65,"Unitário",Rodadas!$D$2:$D$65,"FS")</f>
        <v>2</v>
      </c>
      <c r="E19" s="5" t="n">
        <f aca="false">SUMIFS(Rodadas!$J$2:$J$65,Rodadas!$F$2:$F$65,"Bug plantado",Rodadas!$C$2:$C$65,"Unitário",Rodadas!$D$2:$D$65,"FS")</f>
        <v>11</v>
      </c>
      <c r="F19" s="5" t="n">
        <f aca="false">SUMIFS(Rodadas!$K$2:$K$65,Rodadas!$F$2:$F$65,"Bug plantado",Rodadas!$C$2:$C$65,"Unitário",Rodadas!$D$2:$D$65,"FS")</f>
        <v>11</v>
      </c>
      <c r="G19" s="7" t="n">
        <f aca="false">IFERROR(F19/E19,0)</f>
        <v>1</v>
      </c>
      <c r="H19" s="5" t="n">
        <f aca="false">COUNTIFS(Rodadas!$F$2:$F$65,"Bug plantado",Rodadas!$C$2:$C$65,"Unitário",Rodadas!$D$2:$D$65,"FS",Rodadas!$L$2:$L$65,0,Rodadas!$K$2:$K$65,"&gt;0")</f>
        <v>2</v>
      </c>
      <c r="I19" s="5" t="n">
        <f aca="false">COUNTIFS(Rodadas!$F$2:$F$65,"Bug plantado",Rodadas!$C$2:$C$65,"Unitário",Rodadas!$D$2:$D$65,"FS",Rodadas!$I$2:$I$65,"Sim")</f>
        <v>2</v>
      </c>
      <c r="J19" s="5" t="n">
        <f aca="false">COUNTIFS(Rodadas!$F$2:$F$65,"Bug plantado",Rodadas!$C$2:$C$65,"Unitário",Rodadas!$D$2:$D$65,"FS",Rodadas!$O$2:$O$65,"&gt;0")</f>
        <v>0</v>
      </c>
      <c r="K19" s="5" t="n">
        <f aca="false">SUMIFS(Rodadas!$O$2:$O$65,Rodadas!$F$2:$F$65,"Bug plantado",Rodadas!$C$2:$C$65,"Unitário",Rodadas!$D$2:$D$65,"FS")</f>
        <v>0</v>
      </c>
      <c r="L19" s="8" t="n">
        <f aca="false">IFERROR(K19/D19,0)</f>
        <v>0</v>
      </c>
      <c r="M19" s="5" t="n">
        <f aca="false">COUNTIFS(Rodadas!$F$2:$F$65,"Bug plantado",Rodadas!$C$2:$C$65,"Unitário",Rodadas!$D$2:$D$65,"FS",Rodadas!$O$2:$O$65,3)</f>
        <v>0</v>
      </c>
      <c r="N19" s="5" t="n">
        <f aca="false">SUMIFS(Rodadas!$P$2:$P$65,Rodadas!$F$2:$F$65,"Bug plantado",Rodadas!$C$2:$C$65,"Unitário",Rodadas!$D$2:$D$65,"FS")</f>
        <v>2</v>
      </c>
      <c r="O19" s="5" t="n">
        <f aca="false">SUMIFS(Rodadas!$Q$2:$Q$65,Rodadas!$F$2:$F$65,"Bug plantado",Rodadas!$C$2:$C$65,"Unitário",Rodadas!$D$2:$D$65,"FS")</f>
        <v>0</v>
      </c>
      <c r="P19" s="5" t="n">
        <f aca="false">COUNTIFS(Rodadas!$F$2:$F$65,"Bug plantado",Rodadas!$C$2:$C$65,"Unitário",Rodadas!$D$2:$D$65,"FS",Rodadas!$Q$2:$Q$65,"&gt;0")</f>
        <v>0</v>
      </c>
      <c r="Q19" s="5" t="n">
        <f aca="false">COUNTIFS(Rodadas!$F$2:$F$65,"Bug plantado",Rodadas!$C$2:$C$65,"Unitário",Rodadas!$D$2:$D$65,"FS",Rodadas!$M$2:$M$65,"&lt;&gt;executa")</f>
        <v>0</v>
      </c>
    </row>
    <row r="20" customFormat="false" ht="15" hidden="false" customHeight="true" outlineLevel="0" collapsed="false">
      <c r="A20" s="5" t="s">
        <v>40</v>
      </c>
      <c r="B20" s="5" t="s">
        <v>37</v>
      </c>
      <c r="C20" s="5" t="s">
        <v>56</v>
      </c>
      <c r="D20" s="5" t="n">
        <f aca="false">COUNTIFS(Rodadas!$F$2:$F$65,"Bug plantado",Rodadas!$C$2:$C$65,"Unitário",Rodadas!$D$2:$D$65,"COT")</f>
        <v>2</v>
      </c>
      <c r="E20" s="5" t="n">
        <f aca="false">SUMIFS(Rodadas!$J$2:$J$65,Rodadas!$F$2:$F$65,"Bug plantado",Rodadas!$C$2:$C$65,"Unitário",Rodadas!$D$2:$D$65,"COT")</f>
        <v>18</v>
      </c>
      <c r="F20" s="5" t="n">
        <f aca="false">SUMIFS(Rodadas!$K$2:$K$65,Rodadas!$F$2:$F$65,"Bug plantado",Rodadas!$C$2:$C$65,"Unitário",Rodadas!$D$2:$D$65,"COT")</f>
        <v>18</v>
      </c>
      <c r="G20" s="7" t="n">
        <f aca="false">IFERROR(F20/E20,0)</f>
        <v>1</v>
      </c>
      <c r="H20" s="5" t="n">
        <f aca="false">COUNTIFS(Rodadas!$F$2:$F$65,"Bug plantado",Rodadas!$C$2:$C$65,"Unitário",Rodadas!$D$2:$D$65,"COT",Rodadas!$L$2:$L$65,0,Rodadas!$K$2:$K$65,"&gt;0")</f>
        <v>2</v>
      </c>
      <c r="I20" s="5" t="n">
        <f aca="false">COUNTIFS(Rodadas!$F$2:$F$65,"Bug plantado",Rodadas!$C$2:$C$65,"Unitário",Rodadas!$D$2:$D$65,"COT",Rodadas!$I$2:$I$65,"Sim")</f>
        <v>2</v>
      </c>
      <c r="J20" s="5" t="n">
        <f aca="false">COUNTIFS(Rodadas!$F$2:$F$65,"Bug plantado",Rodadas!$C$2:$C$65,"Unitário",Rodadas!$D$2:$D$65,"COT",Rodadas!$O$2:$O$65,"&gt;0")</f>
        <v>0</v>
      </c>
      <c r="K20" s="5" t="n">
        <f aca="false">SUMIFS(Rodadas!$O$2:$O$65,Rodadas!$F$2:$F$65,"Bug plantado",Rodadas!$C$2:$C$65,"Unitário",Rodadas!$D$2:$D$65,"COT")</f>
        <v>0</v>
      </c>
      <c r="L20" s="8" t="n">
        <f aca="false">IFERROR(K20/D20,0)</f>
        <v>0</v>
      </c>
      <c r="M20" s="5" t="n">
        <f aca="false">COUNTIFS(Rodadas!$F$2:$F$65,"Bug plantado",Rodadas!$C$2:$C$65,"Unitário",Rodadas!$D$2:$D$65,"COT",Rodadas!$O$2:$O$65,3)</f>
        <v>0</v>
      </c>
      <c r="N20" s="5" t="n">
        <f aca="false">SUMIFS(Rodadas!$P$2:$P$65,Rodadas!$F$2:$F$65,"Bug plantado",Rodadas!$C$2:$C$65,"Unitário",Rodadas!$D$2:$D$65,"COT")</f>
        <v>3</v>
      </c>
      <c r="O20" s="5" t="n">
        <f aca="false">SUMIFS(Rodadas!$Q$2:$Q$65,Rodadas!$F$2:$F$65,"Bug plantado",Rodadas!$C$2:$C$65,"Unitário",Rodadas!$D$2:$D$65,"COT")</f>
        <v>1</v>
      </c>
      <c r="P20" s="5" t="n">
        <f aca="false">COUNTIFS(Rodadas!$F$2:$F$65,"Bug plantado",Rodadas!$C$2:$C$65,"Unitário",Rodadas!$D$2:$D$65,"COT",Rodadas!$Q$2:$Q$65,"&gt;0")</f>
        <v>1</v>
      </c>
      <c r="Q20" s="5" t="n">
        <f aca="false">COUNTIFS(Rodadas!$F$2:$F$65,"Bug plantado",Rodadas!$C$2:$C$65,"Unitário",Rodadas!$D$2:$D$65,"COT",Rodadas!$M$2:$M$65,"&lt;&gt;executa")</f>
        <v>0</v>
      </c>
    </row>
    <row r="21" customFormat="false" ht="15" hidden="false" customHeight="true" outlineLevel="0" collapsed="false">
      <c r="A21" s="9" t="s">
        <v>40</v>
      </c>
      <c r="B21" s="9" t="s">
        <v>37</v>
      </c>
      <c r="C21" s="9" t="s">
        <v>261</v>
      </c>
      <c r="D21" s="9" t="n">
        <f aca="false">COUNTIFS(Rodadas!$F$2:$F$65,"Bug plantado",Rodadas!$C$2:$C$65,"Unitário")</f>
        <v>6</v>
      </c>
      <c r="E21" s="9" t="n">
        <f aca="false">SUMIFS(Rodadas!$J$2:$J$65,Rodadas!$F$2:$F$65,"Bug plantado",Rodadas!$C$2:$C$65,"Unitário")</f>
        <v>47</v>
      </c>
      <c r="F21" s="9" t="n">
        <f aca="false">SUMIFS(Rodadas!$K$2:$K$65,Rodadas!$F$2:$F$65,"Bug plantado",Rodadas!$C$2:$C$65,"Unitário")</f>
        <v>47</v>
      </c>
      <c r="G21" s="10" t="n">
        <f aca="false">IFERROR(F21/E21,0)</f>
        <v>1</v>
      </c>
      <c r="H21" s="9" t="n">
        <f aca="false">COUNTIFS(Rodadas!$F$2:$F$65,"Bug plantado",Rodadas!$C$2:$C$65,"Unitário",Rodadas!$L$2:$L$65,0,Rodadas!$K$2:$K$65,"&gt;0")</f>
        <v>6</v>
      </c>
      <c r="I21" s="9" t="n">
        <f aca="false">COUNTIFS(Rodadas!$F$2:$F$65,"Bug plantado",Rodadas!$C$2:$C$65,"Unitário",Rodadas!$I$2:$I$65,"Sim")</f>
        <v>6</v>
      </c>
      <c r="J21" s="9" t="n">
        <f aca="false">COUNTIFS(Rodadas!$F$2:$F$65,"Bug plantado",Rodadas!$C$2:$C$65,"Unitário",Rodadas!$O$2:$O$65,"&gt;0")</f>
        <v>0</v>
      </c>
      <c r="K21" s="9" t="n">
        <f aca="false">SUMIFS(Rodadas!$O$2:$O$65,Rodadas!$F$2:$F$65,"Bug plantado",Rodadas!$C$2:$C$65,"Unitário")</f>
        <v>0</v>
      </c>
      <c r="L21" s="11" t="n">
        <f aca="false">IFERROR(K21/D21,0)</f>
        <v>0</v>
      </c>
      <c r="M21" s="9" t="n">
        <f aca="false">COUNTIFS(Rodadas!$F$2:$F$65,"Bug plantado",Rodadas!$C$2:$C$65,"Unitário",Rodadas!$O$2:$O$65,3)</f>
        <v>0</v>
      </c>
      <c r="N21" s="9" t="n">
        <f aca="false">SUMIFS(Rodadas!$P$2:$P$65,Rodadas!$F$2:$F$65,"Bug plantado",Rodadas!$C$2:$C$65,"Unitário")</f>
        <v>7</v>
      </c>
      <c r="O21" s="9" t="n">
        <f aca="false">SUMIFS(Rodadas!$Q$2:$Q$65,Rodadas!$F$2:$F$65,"Bug plantado",Rodadas!$C$2:$C$65,"Unitário")</f>
        <v>1</v>
      </c>
      <c r="P21" s="9" t="n">
        <f aca="false">COUNTIFS(Rodadas!$F$2:$F$65,"Bug plantado",Rodadas!$C$2:$C$65,"Unitário",Rodadas!$Q$2:$Q$65,"&gt;0")</f>
        <v>1</v>
      </c>
      <c r="Q21" s="9" t="n">
        <f aca="false">COUNTIFS(Rodadas!$F$2:$F$65,"Bug plantado",Rodadas!$C$2:$C$65,"Unitário",Rodadas!$M$2:$M$65,"&lt;&gt;executa")</f>
        <v>0</v>
      </c>
    </row>
    <row r="22" customFormat="false" ht="15" hidden="false" customHeight="true" outlineLevel="0" collapsed="false">
      <c r="A22" s="5" t="s">
        <v>40</v>
      </c>
      <c r="B22" s="5" t="s">
        <v>71</v>
      </c>
      <c r="C22" s="5" t="s">
        <v>38</v>
      </c>
      <c r="D22" s="5" t="n">
        <f aca="false">COUNTIFS(Rodadas!$F$2:$F$65,"Bug plantado",Rodadas!$C$2:$C$65,"Widget",Rodadas!$D$2:$D$65,"ZS")</f>
        <v>2</v>
      </c>
      <c r="E22" s="5" t="n">
        <f aca="false">SUMIFS(Rodadas!$J$2:$J$65,Rodadas!$F$2:$F$65,"Bug plantado",Rodadas!$C$2:$C$65,"Widget",Rodadas!$D$2:$D$65,"ZS")</f>
        <v>16</v>
      </c>
      <c r="F22" s="5" t="n">
        <f aca="false">SUMIFS(Rodadas!$K$2:$K$65,Rodadas!$F$2:$F$65,"Bug plantado",Rodadas!$C$2:$C$65,"Widget",Rodadas!$D$2:$D$65,"ZS")</f>
        <v>15</v>
      </c>
      <c r="G22" s="7" t="n">
        <f aca="false">IFERROR(F22/E22,0)</f>
        <v>0.9375</v>
      </c>
      <c r="H22" s="5" t="n">
        <f aca="false">COUNTIFS(Rodadas!$F$2:$F$65,"Bug plantado",Rodadas!$C$2:$C$65,"Widget",Rodadas!$D$2:$D$65,"ZS",Rodadas!$L$2:$L$65,0,Rodadas!$K$2:$K$65,"&gt;0")</f>
        <v>1</v>
      </c>
      <c r="I22" s="5" t="n">
        <f aca="false">COUNTIFS(Rodadas!$F$2:$F$65,"Bug plantado",Rodadas!$C$2:$C$65,"Widget",Rodadas!$D$2:$D$65,"ZS",Rodadas!$I$2:$I$65,"Sim")</f>
        <v>2</v>
      </c>
      <c r="J22" s="5" t="n">
        <f aca="false">COUNTIFS(Rodadas!$F$2:$F$65,"Bug plantado",Rodadas!$C$2:$C$65,"Widget",Rodadas!$D$2:$D$65,"ZS",Rodadas!$O$2:$O$65,"&gt;0")</f>
        <v>1</v>
      </c>
      <c r="K22" s="5" t="n">
        <f aca="false">SUMIFS(Rodadas!$O$2:$O$65,Rodadas!$F$2:$F$65,"Bug plantado",Rodadas!$C$2:$C$65,"Widget",Rodadas!$D$2:$D$65,"ZS")</f>
        <v>2</v>
      </c>
      <c r="L22" s="8" t="n">
        <f aca="false">IFERROR(K22/D22,0)</f>
        <v>1</v>
      </c>
      <c r="M22" s="5" t="n">
        <f aca="false">COUNTIFS(Rodadas!$F$2:$F$65,"Bug plantado",Rodadas!$C$2:$C$65,"Widget",Rodadas!$D$2:$D$65,"ZS",Rodadas!$O$2:$O$65,3)</f>
        <v>0</v>
      </c>
      <c r="N22" s="5" t="n">
        <f aca="false">SUMIFS(Rodadas!$P$2:$P$65,Rodadas!$F$2:$F$65,"Bug plantado",Rodadas!$C$2:$C$65,"Widget",Rodadas!$D$2:$D$65,"ZS")</f>
        <v>3</v>
      </c>
      <c r="O22" s="5" t="n">
        <f aca="false">SUMIFS(Rodadas!$Q$2:$Q$65,Rodadas!$F$2:$F$65,"Bug plantado",Rodadas!$C$2:$C$65,"Widget",Rodadas!$D$2:$D$65,"ZS")</f>
        <v>1</v>
      </c>
      <c r="P22" s="5" t="n">
        <f aca="false">COUNTIFS(Rodadas!$F$2:$F$65,"Bug plantado",Rodadas!$C$2:$C$65,"Widget",Rodadas!$D$2:$D$65,"ZS",Rodadas!$Q$2:$Q$65,"&gt;0")</f>
        <v>1</v>
      </c>
      <c r="Q22" s="5" t="n">
        <f aca="false">COUNTIFS(Rodadas!$F$2:$F$65,"Bug plantado",Rodadas!$C$2:$C$65,"Widget",Rodadas!$D$2:$D$65,"ZS",Rodadas!$M$2:$M$65,"&lt;&gt;executa")</f>
        <v>0</v>
      </c>
    </row>
    <row r="23" customFormat="false" ht="15" hidden="false" customHeight="true" outlineLevel="0" collapsed="false">
      <c r="A23" s="5" t="s">
        <v>40</v>
      </c>
      <c r="B23" s="5" t="s">
        <v>71</v>
      </c>
      <c r="C23" s="5" t="s">
        <v>51</v>
      </c>
      <c r="D23" s="5" t="n">
        <f aca="false">COUNTIFS(Rodadas!$F$2:$F$65,"Bug plantado",Rodadas!$C$2:$C$65,"Widget",Rodadas!$D$2:$D$65,"FS")</f>
        <v>2</v>
      </c>
      <c r="E23" s="5" t="n">
        <f aca="false">SUMIFS(Rodadas!$J$2:$J$65,Rodadas!$F$2:$F$65,"Bug plantado",Rodadas!$C$2:$C$65,"Widget",Rodadas!$D$2:$D$65,"FS")</f>
        <v>14</v>
      </c>
      <c r="F23" s="5" t="n">
        <f aca="false">SUMIFS(Rodadas!$K$2:$K$65,Rodadas!$F$2:$F$65,"Bug plantado",Rodadas!$C$2:$C$65,"Widget",Rodadas!$D$2:$D$65,"FS")</f>
        <v>12</v>
      </c>
      <c r="G23" s="7" t="n">
        <f aca="false">IFERROR(F23/E23,0)</f>
        <v>0.857142857142857</v>
      </c>
      <c r="H23" s="5" t="n">
        <f aca="false">COUNTIFS(Rodadas!$F$2:$F$65,"Bug plantado",Rodadas!$C$2:$C$65,"Widget",Rodadas!$D$2:$D$65,"FS",Rodadas!$L$2:$L$65,0,Rodadas!$K$2:$K$65,"&gt;0")</f>
        <v>1</v>
      </c>
      <c r="I23" s="5" t="n">
        <f aca="false">COUNTIFS(Rodadas!$F$2:$F$65,"Bug plantado",Rodadas!$C$2:$C$65,"Widget",Rodadas!$D$2:$D$65,"FS",Rodadas!$I$2:$I$65,"Sim")</f>
        <v>0</v>
      </c>
      <c r="J23" s="5" t="n">
        <f aca="false">COUNTIFS(Rodadas!$F$2:$F$65,"Bug plantado",Rodadas!$C$2:$C$65,"Widget",Rodadas!$D$2:$D$65,"FS",Rodadas!$O$2:$O$65,"&gt;0")</f>
        <v>2</v>
      </c>
      <c r="K23" s="5" t="n">
        <f aca="false">SUMIFS(Rodadas!$O$2:$O$65,Rodadas!$F$2:$F$65,"Bug plantado",Rodadas!$C$2:$C$65,"Widget",Rodadas!$D$2:$D$65,"FS")</f>
        <v>5</v>
      </c>
      <c r="L23" s="8" t="n">
        <f aca="false">IFERROR(K23/D23,0)</f>
        <v>2.5</v>
      </c>
      <c r="M23" s="5" t="n">
        <f aca="false">COUNTIFS(Rodadas!$F$2:$F$65,"Bug plantado",Rodadas!$C$2:$C$65,"Widget",Rodadas!$D$2:$D$65,"FS",Rodadas!$O$2:$O$65,3)</f>
        <v>1</v>
      </c>
      <c r="N23" s="5" t="n">
        <f aca="false">SUMIFS(Rodadas!$P$2:$P$65,Rodadas!$F$2:$F$65,"Bug plantado",Rodadas!$C$2:$C$65,"Widget",Rodadas!$D$2:$D$65,"FS")</f>
        <v>2</v>
      </c>
      <c r="O23" s="5" t="n">
        <f aca="false">SUMIFS(Rodadas!$Q$2:$Q$65,Rodadas!$F$2:$F$65,"Bug plantado",Rodadas!$C$2:$C$65,"Widget",Rodadas!$D$2:$D$65,"FS")</f>
        <v>0</v>
      </c>
      <c r="P23" s="5" t="n">
        <f aca="false">COUNTIFS(Rodadas!$F$2:$F$65,"Bug plantado",Rodadas!$C$2:$C$65,"Widget",Rodadas!$D$2:$D$65,"FS",Rodadas!$Q$2:$Q$65,"&gt;0")</f>
        <v>0</v>
      </c>
      <c r="Q23" s="5" t="n">
        <f aca="false">COUNTIFS(Rodadas!$F$2:$F$65,"Bug plantado",Rodadas!$C$2:$C$65,"Widget",Rodadas!$D$2:$D$65,"FS",Rodadas!$M$2:$M$65,"&lt;&gt;executa")</f>
        <v>0</v>
      </c>
    </row>
    <row r="24" customFormat="false" ht="15" hidden="false" customHeight="true" outlineLevel="0" collapsed="false">
      <c r="A24" s="5" t="s">
        <v>40</v>
      </c>
      <c r="B24" s="5" t="s">
        <v>71</v>
      </c>
      <c r="C24" s="5" t="s">
        <v>56</v>
      </c>
      <c r="D24" s="5" t="n">
        <f aca="false">COUNTIFS(Rodadas!$F$2:$F$65,"Bug plantado",Rodadas!$C$2:$C$65,"Widget",Rodadas!$D$2:$D$65,"COT")</f>
        <v>2</v>
      </c>
      <c r="E24" s="5" t="n">
        <f aca="false">SUMIFS(Rodadas!$J$2:$J$65,Rodadas!$F$2:$F$65,"Bug plantado",Rodadas!$C$2:$C$65,"Widget",Rodadas!$D$2:$D$65,"COT")</f>
        <v>19</v>
      </c>
      <c r="F24" s="5" t="n">
        <f aca="false">SUMIFS(Rodadas!$K$2:$K$65,Rodadas!$F$2:$F$65,"Bug plantado",Rodadas!$C$2:$C$65,"Widget",Rodadas!$D$2:$D$65,"COT")</f>
        <v>18</v>
      </c>
      <c r="G24" s="7" t="n">
        <f aca="false">IFERROR(F24/E24,0)</f>
        <v>0.947368421052632</v>
      </c>
      <c r="H24" s="5" t="n">
        <f aca="false">COUNTIFS(Rodadas!$F$2:$F$65,"Bug plantado",Rodadas!$C$2:$C$65,"Widget",Rodadas!$D$2:$D$65,"COT",Rodadas!$L$2:$L$65,0,Rodadas!$K$2:$K$65,"&gt;0")</f>
        <v>1</v>
      </c>
      <c r="I24" s="5" t="n">
        <f aca="false">COUNTIFS(Rodadas!$F$2:$F$65,"Bug plantado",Rodadas!$C$2:$C$65,"Widget",Rodadas!$D$2:$D$65,"COT",Rodadas!$I$2:$I$65,"Sim")</f>
        <v>2</v>
      </c>
      <c r="J24" s="5" t="n">
        <f aca="false">COUNTIFS(Rodadas!$F$2:$F$65,"Bug plantado",Rodadas!$C$2:$C$65,"Widget",Rodadas!$D$2:$D$65,"COT",Rodadas!$O$2:$O$65,"&gt;0")</f>
        <v>1</v>
      </c>
      <c r="K24" s="5" t="n">
        <f aca="false">SUMIFS(Rodadas!$O$2:$O$65,Rodadas!$F$2:$F$65,"Bug plantado",Rodadas!$C$2:$C$65,"Widget",Rodadas!$D$2:$D$65,"COT")</f>
        <v>1</v>
      </c>
      <c r="L24" s="8" t="n">
        <f aca="false">IFERROR(K24/D24,0)</f>
        <v>0.5</v>
      </c>
      <c r="M24" s="5" t="n">
        <f aca="false">COUNTIFS(Rodadas!$F$2:$F$65,"Bug plantado",Rodadas!$C$2:$C$65,"Widget",Rodadas!$D$2:$D$65,"COT",Rodadas!$O$2:$O$65,3)</f>
        <v>0</v>
      </c>
      <c r="N24" s="5" t="n">
        <f aca="false">SUMIFS(Rodadas!$P$2:$P$65,Rodadas!$F$2:$F$65,"Bug plantado",Rodadas!$C$2:$C$65,"Widget",Rodadas!$D$2:$D$65,"COT")</f>
        <v>2</v>
      </c>
      <c r="O24" s="5" t="n">
        <f aca="false">SUMIFS(Rodadas!$Q$2:$Q$65,Rodadas!$F$2:$F$65,"Bug plantado",Rodadas!$C$2:$C$65,"Widget",Rodadas!$D$2:$D$65,"COT")</f>
        <v>0</v>
      </c>
      <c r="P24" s="5" t="n">
        <f aca="false">COUNTIFS(Rodadas!$F$2:$F$65,"Bug plantado",Rodadas!$C$2:$C$65,"Widget",Rodadas!$D$2:$D$65,"COT",Rodadas!$Q$2:$Q$65,"&gt;0")</f>
        <v>0</v>
      </c>
      <c r="Q24" s="5" t="n">
        <f aca="false">COUNTIFS(Rodadas!$F$2:$F$65,"Bug plantado",Rodadas!$C$2:$C$65,"Widget",Rodadas!$D$2:$D$65,"COT",Rodadas!$M$2:$M$65,"&lt;&gt;executa")</f>
        <v>0</v>
      </c>
    </row>
    <row r="25" customFormat="false" ht="15" hidden="false" customHeight="true" outlineLevel="0" collapsed="false">
      <c r="A25" s="9" t="s">
        <v>40</v>
      </c>
      <c r="B25" s="9" t="s">
        <v>71</v>
      </c>
      <c r="C25" s="9" t="s">
        <v>261</v>
      </c>
      <c r="D25" s="9" t="n">
        <f aca="false">COUNTIFS(Rodadas!$F$2:$F$65,"Bug plantado",Rodadas!$C$2:$C$65,"Widget")</f>
        <v>6</v>
      </c>
      <c r="E25" s="9" t="n">
        <f aca="false">SUMIFS(Rodadas!$J$2:$J$65,Rodadas!$F$2:$F$65,"Bug plantado",Rodadas!$C$2:$C$65,"Widget")</f>
        <v>49</v>
      </c>
      <c r="F25" s="9" t="n">
        <f aca="false">SUMIFS(Rodadas!$K$2:$K$65,Rodadas!$F$2:$F$65,"Bug plantado",Rodadas!$C$2:$C$65,"Widget")</f>
        <v>45</v>
      </c>
      <c r="G25" s="10" t="n">
        <f aca="false">IFERROR(F25/E25,0)</f>
        <v>0.918367346938776</v>
      </c>
      <c r="H25" s="9" t="n">
        <f aca="false">COUNTIFS(Rodadas!$F$2:$F$65,"Bug plantado",Rodadas!$C$2:$C$65,"Widget",Rodadas!$L$2:$L$65,0,Rodadas!$K$2:$K$65,"&gt;0")</f>
        <v>3</v>
      </c>
      <c r="I25" s="9" t="n">
        <f aca="false">COUNTIFS(Rodadas!$F$2:$F$65,"Bug plantado",Rodadas!$C$2:$C$65,"Widget",Rodadas!$I$2:$I$65,"Sim")</f>
        <v>4</v>
      </c>
      <c r="J25" s="9" t="n">
        <f aca="false">COUNTIFS(Rodadas!$F$2:$F$65,"Bug plantado",Rodadas!$C$2:$C$65,"Widget",Rodadas!$O$2:$O$65,"&gt;0")</f>
        <v>4</v>
      </c>
      <c r="K25" s="9" t="n">
        <f aca="false">SUMIFS(Rodadas!$O$2:$O$65,Rodadas!$F$2:$F$65,"Bug plantado",Rodadas!$C$2:$C$65,"Widget")</f>
        <v>8</v>
      </c>
      <c r="L25" s="11" t="n">
        <f aca="false">IFERROR(K25/D25,0)</f>
        <v>1.33333333333333</v>
      </c>
      <c r="M25" s="9" t="n">
        <f aca="false">COUNTIFS(Rodadas!$F$2:$F$65,"Bug plantado",Rodadas!$C$2:$C$65,"Widget",Rodadas!$O$2:$O$65,3)</f>
        <v>1</v>
      </c>
      <c r="N25" s="9" t="n">
        <f aca="false">SUMIFS(Rodadas!$P$2:$P$65,Rodadas!$F$2:$F$65,"Bug plantado",Rodadas!$C$2:$C$65,"Widget")</f>
        <v>7</v>
      </c>
      <c r="O25" s="9" t="n">
        <f aca="false">SUMIFS(Rodadas!$Q$2:$Q$65,Rodadas!$F$2:$F$65,"Bug plantado",Rodadas!$C$2:$C$65,"Widget")</f>
        <v>1</v>
      </c>
      <c r="P25" s="9" t="n">
        <f aca="false">COUNTIFS(Rodadas!$F$2:$F$65,"Bug plantado",Rodadas!$C$2:$C$65,"Widget",Rodadas!$Q$2:$Q$65,"&gt;0")</f>
        <v>1</v>
      </c>
      <c r="Q25" s="9" t="n">
        <f aca="false">COUNTIFS(Rodadas!$F$2:$F$65,"Bug plantado",Rodadas!$C$2:$C$65,"Widget",Rodadas!$M$2:$M$65,"&lt;&gt;executa")</f>
        <v>0</v>
      </c>
    </row>
    <row r="26" customFormat="false" ht="15" hidden="false" customHeight="true" outlineLevel="0" collapsed="false">
      <c r="A26" s="5" t="s">
        <v>40</v>
      </c>
      <c r="B26" s="5" t="s">
        <v>102</v>
      </c>
      <c r="C26" s="5" t="s">
        <v>38</v>
      </c>
      <c r="D26" s="5" t="n">
        <f aca="false">COUNTIFS(Rodadas!$F$2:$F$65,"Bug plantado",Rodadas!$C$2:$C$65,"Integração",Rodadas!$D$2:$D$65,"ZS")</f>
        <v>2</v>
      </c>
      <c r="E26" s="5" t="n">
        <f aca="false">SUMIFS(Rodadas!$J$2:$J$65,Rodadas!$F$2:$F$65,"Bug plantado",Rodadas!$C$2:$C$65,"Integração",Rodadas!$D$2:$D$65,"ZS")</f>
        <v>7</v>
      </c>
      <c r="F26" s="5" t="n">
        <f aca="false">SUMIFS(Rodadas!$K$2:$K$65,Rodadas!$F$2:$F$65,"Bug plantado",Rodadas!$C$2:$C$65,"Integração",Rodadas!$D$2:$D$65,"ZS")</f>
        <v>3</v>
      </c>
      <c r="G26" s="7" t="n">
        <f aca="false">IFERROR(F26/E26,0)</f>
        <v>0.428571428571429</v>
      </c>
      <c r="H26" s="5" t="n">
        <f aca="false">COUNTIFS(Rodadas!$F$2:$F$65,"Bug plantado",Rodadas!$C$2:$C$65,"Integração",Rodadas!$D$2:$D$65,"ZS",Rodadas!$L$2:$L$65,0,Rodadas!$K$2:$K$65,"&gt;0")</f>
        <v>1</v>
      </c>
      <c r="I26" s="5" t="n">
        <f aca="false">COUNTIFS(Rodadas!$F$2:$F$65,"Bug plantado",Rodadas!$C$2:$C$65,"Integração",Rodadas!$D$2:$D$65,"ZS",Rodadas!$I$2:$I$65,"Sim")</f>
        <v>1</v>
      </c>
      <c r="J26" s="5" t="n">
        <f aca="false">COUNTIFS(Rodadas!$F$2:$F$65,"Bug plantado",Rodadas!$C$2:$C$65,"Integração",Rodadas!$D$2:$D$65,"ZS",Rodadas!$O$2:$O$65,"&gt;0")</f>
        <v>2</v>
      </c>
      <c r="K26" s="5" t="n">
        <f aca="false">SUMIFS(Rodadas!$O$2:$O$65,Rodadas!$F$2:$F$65,"Bug plantado",Rodadas!$C$2:$C$65,"Integração",Rodadas!$D$2:$D$65,"ZS")</f>
        <v>4</v>
      </c>
      <c r="L26" s="8" t="n">
        <f aca="false">IFERROR(K26/D26,0)</f>
        <v>2</v>
      </c>
      <c r="M26" s="5" t="n">
        <f aca="false">COUNTIFS(Rodadas!$F$2:$F$65,"Bug plantado",Rodadas!$C$2:$C$65,"Integração",Rodadas!$D$2:$D$65,"ZS",Rodadas!$O$2:$O$65,3)</f>
        <v>1</v>
      </c>
      <c r="N26" s="5" t="n">
        <f aca="false">SUMIFS(Rodadas!$P$2:$P$65,Rodadas!$F$2:$F$65,"Bug plantado",Rodadas!$C$2:$C$65,"Integração",Rodadas!$D$2:$D$65,"ZS")</f>
        <v>2</v>
      </c>
      <c r="O26" s="5" t="n">
        <f aca="false">SUMIFS(Rodadas!$Q$2:$Q$65,Rodadas!$F$2:$F$65,"Bug plantado",Rodadas!$C$2:$C$65,"Integração",Rodadas!$D$2:$D$65,"ZS")</f>
        <v>0</v>
      </c>
      <c r="P26" s="5" t="n">
        <f aca="false">COUNTIFS(Rodadas!$F$2:$F$65,"Bug plantado",Rodadas!$C$2:$C$65,"Integração",Rodadas!$D$2:$D$65,"ZS",Rodadas!$Q$2:$Q$65,"&gt;0")</f>
        <v>0</v>
      </c>
      <c r="Q26" s="5" t="n">
        <f aca="false">COUNTIFS(Rodadas!$F$2:$F$65,"Bug plantado",Rodadas!$C$2:$C$65,"Integração",Rodadas!$D$2:$D$65,"ZS",Rodadas!$M$2:$M$65,"&lt;&gt;executa")</f>
        <v>0</v>
      </c>
    </row>
    <row r="27" customFormat="false" ht="15" hidden="false" customHeight="true" outlineLevel="0" collapsed="false">
      <c r="A27" s="5" t="s">
        <v>40</v>
      </c>
      <c r="B27" s="5" t="s">
        <v>102</v>
      </c>
      <c r="C27" s="5" t="s">
        <v>51</v>
      </c>
      <c r="D27" s="5" t="n">
        <f aca="false">COUNTIFS(Rodadas!$F$2:$F$65,"Bug plantado",Rodadas!$C$2:$C$65,"Integração",Rodadas!$D$2:$D$65,"FS")</f>
        <v>2</v>
      </c>
      <c r="E27" s="5" t="n">
        <f aca="false">SUMIFS(Rodadas!$J$2:$J$65,Rodadas!$F$2:$F$65,"Bug plantado",Rodadas!$C$2:$C$65,"Integração",Rodadas!$D$2:$D$65,"FS")</f>
        <v>6</v>
      </c>
      <c r="F27" s="5" t="n">
        <f aca="false">SUMIFS(Rodadas!$K$2:$K$65,Rodadas!$F$2:$F$65,"Bug plantado",Rodadas!$C$2:$C$65,"Integração",Rodadas!$D$2:$D$65,"FS")</f>
        <v>1</v>
      </c>
      <c r="G27" s="7" t="n">
        <f aca="false">IFERROR(F27/E27,0)</f>
        <v>0.166666666666667</v>
      </c>
      <c r="H27" s="5" t="n">
        <f aca="false">COUNTIFS(Rodadas!$F$2:$F$65,"Bug plantado",Rodadas!$C$2:$C$65,"Integração",Rodadas!$D$2:$D$65,"FS",Rodadas!$L$2:$L$65,0,Rodadas!$K$2:$K$65,"&gt;0")</f>
        <v>0</v>
      </c>
      <c r="I27" s="5" t="n">
        <f aca="false">COUNTIFS(Rodadas!$F$2:$F$65,"Bug plantado",Rodadas!$C$2:$C$65,"Integração",Rodadas!$D$2:$D$65,"FS",Rodadas!$I$2:$I$65,"Sim")</f>
        <v>0</v>
      </c>
      <c r="J27" s="5" t="n">
        <f aca="false">COUNTIFS(Rodadas!$F$2:$F$65,"Bug plantado",Rodadas!$C$2:$C$65,"Integração",Rodadas!$D$2:$D$65,"FS",Rodadas!$O$2:$O$65,"&gt;0")</f>
        <v>2</v>
      </c>
      <c r="K27" s="5" t="n">
        <f aca="false">SUMIFS(Rodadas!$O$2:$O$65,Rodadas!$F$2:$F$65,"Bug plantado",Rodadas!$C$2:$C$65,"Integração",Rodadas!$D$2:$D$65,"FS")</f>
        <v>5</v>
      </c>
      <c r="L27" s="8" t="n">
        <f aca="false">IFERROR(K27/D27,0)</f>
        <v>2.5</v>
      </c>
      <c r="M27" s="5" t="n">
        <f aca="false">COUNTIFS(Rodadas!$F$2:$F$65,"Bug plantado",Rodadas!$C$2:$C$65,"Integração",Rodadas!$D$2:$D$65,"FS",Rodadas!$O$2:$O$65,3)</f>
        <v>1</v>
      </c>
      <c r="N27" s="5" t="n">
        <f aca="false">SUMIFS(Rodadas!$P$2:$P$65,Rodadas!$F$2:$F$65,"Bug plantado",Rodadas!$C$2:$C$65,"Integração",Rodadas!$D$2:$D$65,"FS")</f>
        <v>2</v>
      </c>
      <c r="O27" s="5" t="n">
        <f aca="false">SUMIFS(Rodadas!$Q$2:$Q$65,Rodadas!$F$2:$F$65,"Bug plantado",Rodadas!$C$2:$C$65,"Integração",Rodadas!$D$2:$D$65,"FS")</f>
        <v>0</v>
      </c>
      <c r="P27" s="5" t="n">
        <f aca="false">COUNTIFS(Rodadas!$F$2:$F$65,"Bug plantado",Rodadas!$C$2:$C$65,"Integração",Rodadas!$D$2:$D$65,"FS",Rodadas!$Q$2:$Q$65,"&gt;0")</f>
        <v>0</v>
      </c>
      <c r="Q27" s="5" t="n">
        <f aca="false">COUNTIFS(Rodadas!$F$2:$F$65,"Bug plantado",Rodadas!$C$2:$C$65,"Integração",Rodadas!$D$2:$D$65,"FS",Rodadas!$M$2:$M$65,"&lt;&gt;executa")</f>
        <v>1</v>
      </c>
    </row>
    <row r="28" customFormat="false" ht="15" hidden="false" customHeight="true" outlineLevel="0" collapsed="false">
      <c r="A28" s="5" t="s">
        <v>40</v>
      </c>
      <c r="B28" s="5" t="s">
        <v>102</v>
      </c>
      <c r="C28" s="5" t="s">
        <v>56</v>
      </c>
      <c r="D28" s="5" t="n">
        <f aca="false">COUNTIFS(Rodadas!$F$2:$F$65,"Bug plantado",Rodadas!$C$2:$C$65,"Integração",Rodadas!$D$2:$D$65,"COT")</f>
        <v>2</v>
      </c>
      <c r="E28" s="5" t="n">
        <f aca="false">SUMIFS(Rodadas!$J$2:$J$65,Rodadas!$F$2:$F$65,"Bug plantado",Rodadas!$C$2:$C$65,"Integração",Rodadas!$D$2:$D$65,"COT")</f>
        <v>10</v>
      </c>
      <c r="F28" s="5" t="n">
        <f aca="false">SUMIFS(Rodadas!$K$2:$K$65,Rodadas!$F$2:$F$65,"Bug plantado",Rodadas!$C$2:$C$65,"Integração",Rodadas!$D$2:$D$65,"COT")</f>
        <v>6</v>
      </c>
      <c r="G28" s="7" t="n">
        <f aca="false">IFERROR(F28/E28,0)</f>
        <v>0.6</v>
      </c>
      <c r="H28" s="5" t="n">
        <f aca="false">COUNTIFS(Rodadas!$F$2:$F$65,"Bug plantado",Rodadas!$C$2:$C$65,"Integração",Rodadas!$D$2:$D$65,"COT",Rodadas!$L$2:$L$65,0,Rodadas!$K$2:$K$65,"&gt;0")</f>
        <v>1</v>
      </c>
      <c r="I28" s="5" t="n">
        <f aca="false">COUNTIFS(Rodadas!$F$2:$F$65,"Bug plantado",Rodadas!$C$2:$C$65,"Integração",Rodadas!$D$2:$D$65,"COT",Rodadas!$I$2:$I$65,"Sim")</f>
        <v>1</v>
      </c>
      <c r="J28" s="5" t="n">
        <f aca="false">COUNTIFS(Rodadas!$F$2:$F$65,"Bug plantado",Rodadas!$C$2:$C$65,"Integração",Rodadas!$D$2:$D$65,"COT",Rodadas!$O$2:$O$65,"&gt;0")</f>
        <v>2</v>
      </c>
      <c r="K28" s="5" t="n">
        <f aca="false">SUMIFS(Rodadas!$O$2:$O$65,Rodadas!$F$2:$F$65,"Bug plantado",Rodadas!$C$2:$C$65,"Integração",Rodadas!$D$2:$D$65,"COT")</f>
        <v>4</v>
      </c>
      <c r="L28" s="8" t="n">
        <f aca="false">IFERROR(K28/D28,0)</f>
        <v>2</v>
      </c>
      <c r="M28" s="5" t="n">
        <f aca="false">COUNTIFS(Rodadas!$F$2:$F$65,"Bug plantado",Rodadas!$C$2:$C$65,"Integração",Rodadas!$D$2:$D$65,"COT",Rodadas!$O$2:$O$65,3)</f>
        <v>1</v>
      </c>
      <c r="N28" s="5" t="n">
        <f aca="false">SUMIFS(Rodadas!$P$2:$P$65,Rodadas!$F$2:$F$65,"Bug plantado",Rodadas!$C$2:$C$65,"Integração",Rodadas!$D$2:$D$65,"COT")</f>
        <v>2</v>
      </c>
      <c r="O28" s="5" t="n">
        <f aca="false">SUMIFS(Rodadas!$Q$2:$Q$65,Rodadas!$F$2:$F$65,"Bug plantado",Rodadas!$C$2:$C$65,"Integração",Rodadas!$D$2:$D$65,"COT")</f>
        <v>0</v>
      </c>
      <c r="P28" s="5" t="n">
        <f aca="false">COUNTIFS(Rodadas!$F$2:$F$65,"Bug plantado",Rodadas!$C$2:$C$65,"Integração",Rodadas!$D$2:$D$65,"COT",Rodadas!$Q$2:$Q$65,"&gt;0")</f>
        <v>0</v>
      </c>
      <c r="Q28" s="5" t="n">
        <f aca="false">COUNTIFS(Rodadas!$F$2:$F$65,"Bug plantado",Rodadas!$C$2:$C$65,"Integração",Rodadas!$D$2:$D$65,"COT",Rodadas!$M$2:$M$65,"&lt;&gt;executa")</f>
        <v>0</v>
      </c>
    </row>
    <row r="29" customFormat="false" ht="15" hidden="false" customHeight="true" outlineLevel="0" collapsed="false">
      <c r="A29" s="9" t="s">
        <v>40</v>
      </c>
      <c r="B29" s="9" t="s">
        <v>102</v>
      </c>
      <c r="C29" s="9" t="s">
        <v>261</v>
      </c>
      <c r="D29" s="9" t="n">
        <f aca="false">COUNTIFS(Rodadas!$F$2:$F$65,"Bug plantado",Rodadas!$C$2:$C$65,"Integração")</f>
        <v>6</v>
      </c>
      <c r="E29" s="9" t="n">
        <f aca="false">SUMIFS(Rodadas!$J$2:$J$65,Rodadas!$F$2:$F$65,"Bug plantado",Rodadas!$C$2:$C$65,"Integração")</f>
        <v>23</v>
      </c>
      <c r="F29" s="9" t="n">
        <f aca="false">SUMIFS(Rodadas!$K$2:$K$65,Rodadas!$F$2:$F$65,"Bug plantado",Rodadas!$C$2:$C$65,"Integração")</f>
        <v>10</v>
      </c>
      <c r="G29" s="10" t="n">
        <f aca="false">IFERROR(F29/E29,0)</f>
        <v>0.434782608695652</v>
      </c>
      <c r="H29" s="9" t="n">
        <f aca="false">COUNTIFS(Rodadas!$F$2:$F$65,"Bug plantado",Rodadas!$C$2:$C$65,"Integração",Rodadas!$L$2:$L$65,0,Rodadas!$K$2:$K$65,"&gt;0")</f>
        <v>2</v>
      </c>
      <c r="I29" s="9" t="n">
        <f aca="false">COUNTIFS(Rodadas!$F$2:$F$65,"Bug plantado",Rodadas!$C$2:$C$65,"Integração",Rodadas!$I$2:$I$65,"Sim")</f>
        <v>2</v>
      </c>
      <c r="J29" s="9" t="n">
        <f aca="false">COUNTIFS(Rodadas!$F$2:$F$65,"Bug plantado",Rodadas!$C$2:$C$65,"Integração",Rodadas!$O$2:$O$65,"&gt;0")</f>
        <v>6</v>
      </c>
      <c r="K29" s="9" t="n">
        <f aca="false">SUMIFS(Rodadas!$O$2:$O$65,Rodadas!$F$2:$F$65,"Bug plantado",Rodadas!$C$2:$C$65,"Integração")</f>
        <v>13</v>
      </c>
      <c r="L29" s="11" t="n">
        <f aca="false">IFERROR(K29/D29,0)</f>
        <v>2.16666666666667</v>
      </c>
      <c r="M29" s="9" t="n">
        <f aca="false">COUNTIFS(Rodadas!$F$2:$F$65,"Bug plantado",Rodadas!$C$2:$C$65,"Integração",Rodadas!$O$2:$O$65,3)</f>
        <v>3</v>
      </c>
      <c r="N29" s="9" t="n">
        <f aca="false">SUMIFS(Rodadas!$P$2:$P$65,Rodadas!$F$2:$F$65,"Bug plantado",Rodadas!$C$2:$C$65,"Integração")</f>
        <v>6</v>
      </c>
      <c r="O29" s="9" t="n">
        <f aca="false">SUMIFS(Rodadas!$Q$2:$Q$65,Rodadas!$F$2:$F$65,"Bug plantado",Rodadas!$C$2:$C$65,"Integração")</f>
        <v>0</v>
      </c>
      <c r="P29" s="9" t="n">
        <f aca="false">COUNTIFS(Rodadas!$F$2:$F$65,"Bug plantado",Rodadas!$C$2:$C$65,"Integração",Rodadas!$Q$2:$Q$65,"&gt;0")</f>
        <v>0</v>
      </c>
      <c r="Q29" s="9" t="n">
        <f aca="false">COUNTIFS(Rodadas!$F$2:$F$65,"Bug plantado",Rodadas!$C$2:$C$65,"Integração",Rodadas!$M$2:$M$65,"&lt;&gt;executa")</f>
        <v>1</v>
      </c>
    </row>
    <row r="30" customFormat="false" ht="15" hidden="false" customHeight="true" outlineLevel="0" collapsed="false">
      <c r="A30" s="12" t="s">
        <v>40</v>
      </c>
      <c r="B30" s="12" t="s">
        <v>262</v>
      </c>
      <c r="C30" s="12" t="s">
        <v>261</v>
      </c>
      <c r="D30" s="12" t="n">
        <f aca="false">COUNTIFS(Rodadas!$F$2:$F$65,"Bug plantado")</f>
        <v>18</v>
      </c>
      <c r="E30" s="12" t="n">
        <f aca="false">SUMIFS(Rodadas!$J$2:$J$65,Rodadas!$F$2:$F$65,"Bug plantado")</f>
        <v>119</v>
      </c>
      <c r="F30" s="12" t="n">
        <f aca="false">SUMIFS(Rodadas!$K$2:$K$65,Rodadas!$F$2:$F$65,"Bug plantado")</f>
        <v>102</v>
      </c>
      <c r="G30" s="13" t="n">
        <f aca="false">IFERROR(F30/E30,0)</f>
        <v>0.857142857142857</v>
      </c>
      <c r="H30" s="12" t="n">
        <f aca="false">COUNTIFS(Rodadas!$F$2:$F$65,"Bug plantado",Rodadas!$L$2:$L$65,0,Rodadas!$K$2:$K$65,"&gt;0")</f>
        <v>11</v>
      </c>
      <c r="I30" s="12" t="n">
        <f aca="false">COUNTIFS(Rodadas!$F$2:$F$65,"Bug plantado",Rodadas!$I$2:$I$65,"Sim")</f>
        <v>12</v>
      </c>
      <c r="J30" s="12" t="n">
        <f aca="false">COUNTIFS(Rodadas!$F$2:$F$65,"Bug plantado",Rodadas!$O$2:$O$65,"&gt;0")</f>
        <v>10</v>
      </c>
      <c r="K30" s="12" t="n">
        <f aca="false">SUMIFS(Rodadas!$O$2:$O$65,Rodadas!$F$2:$F$65,"Bug plantado")</f>
        <v>21</v>
      </c>
      <c r="L30" s="14" t="n">
        <f aca="false">IFERROR(K30/D30,0)</f>
        <v>1.16666666666667</v>
      </c>
      <c r="M30" s="12" t="n">
        <f aca="false">COUNTIFS(Rodadas!$F$2:$F$65,"Bug plantado",Rodadas!$O$2:$O$65,3)</f>
        <v>4</v>
      </c>
      <c r="N30" s="12" t="n">
        <f aca="false">SUMIFS(Rodadas!$P$2:$P$65,Rodadas!$F$2:$F$65,"Bug plantado")</f>
        <v>20</v>
      </c>
      <c r="O30" s="12" t="n">
        <f aca="false">SUMIFS(Rodadas!$Q$2:$Q$65,Rodadas!$F$2:$F$65,"Bug plantado")</f>
        <v>2</v>
      </c>
      <c r="P30" s="12" t="n">
        <f aca="false">COUNTIFS(Rodadas!$F$2:$F$65,"Bug plantado",Rodadas!$Q$2:$Q$65,"&gt;0")</f>
        <v>2</v>
      </c>
      <c r="Q30" s="12" t="n">
        <f aca="false">COUNTIFS(Rodadas!$F$2:$F$65,"Bug plantado",Rodadas!$M$2:$M$65,"&lt;&gt;executa")</f>
        <v>1</v>
      </c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7"/>
      <c r="H31" s="5"/>
      <c r="I31" s="5"/>
      <c r="J31" s="5"/>
      <c r="K31" s="5"/>
      <c r="L31" s="8"/>
      <c r="M31" s="5"/>
      <c r="N31" s="5"/>
      <c r="O31" s="5"/>
      <c r="P31" s="5"/>
      <c r="Q31" s="5"/>
    </row>
    <row r="32" customFormat="false" ht="26.25" hidden="false" customHeight="true" outlineLevel="0" collapsed="false">
      <c r="A32" s="5" t="s">
        <v>163</v>
      </c>
      <c r="B32" s="5" t="s">
        <v>37</v>
      </c>
      <c r="C32" s="5" t="s">
        <v>38</v>
      </c>
      <c r="D32" s="5" t="n">
        <f aca="false">COUNTIFS(Rodadas!$F$2:$F$65,"formatName (bug nativo)",Rodadas!$C$2:$C$65,"Unitário",Rodadas!$D$2:$D$65,"ZS")</f>
        <v>1</v>
      </c>
      <c r="E32" s="5" t="n">
        <f aca="false">SUMIFS(Rodadas!$J$2:$J$65,Rodadas!$F$2:$F$65,"formatName (bug nativo)",Rodadas!$C$2:$C$65,"Unitário",Rodadas!$D$2:$D$65,"ZS")</f>
        <v>10</v>
      </c>
      <c r="F32" s="5" t="n">
        <f aca="false">SUMIFS(Rodadas!$K$2:$K$65,Rodadas!$F$2:$F$65,"formatName (bug nativo)",Rodadas!$C$2:$C$65,"Unitário",Rodadas!$D$2:$D$65,"ZS")</f>
        <v>10</v>
      </c>
      <c r="G32" s="7" t="n">
        <f aca="false">IFERROR(F32/E32,0)</f>
        <v>1</v>
      </c>
      <c r="H32" s="5" t="n">
        <f aca="false">COUNTIFS(Rodadas!$F$2:$F$65,"formatName (bug nativo)",Rodadas!$C$2:$C$65,"Unitário",Rodadas!$D$2:$D$65,"ZS",Rodadas!$L$2:$L$65,0,Rodadas!$K$2:$K$65,"&gt;0")</f>
        <v>1</v>
      </c>
      <c r="I32" s="5" t="n">
        <f aca="false">COUNTIFS(Rodadas!$F$2:$F$65,"formatName (bug nativo)",Rodadas!$C$2:$C$65,"Unitário",Rodadas!$D$2:$D$65,"ZS",Rodadas!$I$2:$I$65,"Sim")</f>
        <v>1</v>
      </c>
      <c r="J32" s="5" t="n">
        <f aca="false">COUNTIFS(Rodadas!$F$2:$F$65,"formatName (bug nativo)",Rodadas!$C$2:$C$65,"Unitário",Rodadas!$D$2:$D$65,"ZS",Rodadas!$O$2:$O$65,"&gt;0")</f>
        <v>0</v>
      </c>
      <c r="K32" s="5" t="n">
        <f aca="false">SUMIFS(Rodadas!$O$2:$O$65,Rodadas!$F$2:$F$65,"formatName (bug nativo)",Rodadas!$C$2:$C$65,"Unitário",Rodadas!$D$2:$D$65,"ZS")</f>
        <v>0</v>
      </c>
      <c r="L32" s="8" t="n">
        <f aca="false">IFERROR(K32/D32,0)</f>
        <v>0</v>
      </c>
      <c r="M32" s="5" t="n">
        <f aca="false">COUNTIFS(Rodadas!$F$2:$F$65,"formatName (bug nativo)",Rodadas!$C$2:$C$65,"Unitário",Rodadas!$D$2:$D$65,"ZS",Rodadas!$O$2:$O$65,3)</f>
        <v>0</v>
      </c>
      <c r="N32" s="5" t="n">
        <f aca="false">SUMIFS(Rodadas!$P$2:$P$65,Rodadas!$F$2:$F$65,"formatName (bug nativo)",Rodadas!$C$2:$C$65,"Unitário",Rodadas!$D$2:$D$65,"ZS")</f>
        <v>3</v>
      </c>
      <c r="O32" s="5" t="n">
        <f aca="false">SUMIFS(Rodadas!$Q$2:$Q$65,Rodadas!$F$2:$F$65,"formatName (bug nativo)",Rodadas!$C$2:$C$65,"Unitário",Rodadas!$D$2:$D$65,"ZS")</f>
        <v>2</v>
      </c>
      <c r="P32" s="5" t="n">
        <f aca="false">COUNTIFS(Rodadas!$F$2:$F$65,"formatName (bug nativo)",Rodadas!$C$2:$C$65,"Unitário",Rodadas!$D$2:$D$65,"ZS",Rodadas!$Q$2:$Q$65,"&gt;0")</f>
        <v>1</v>
      </c>
      <c r="Q32" s="5" t="n">
        <f aca="false">COUNTIFS(Rodadas!$F$2:$F$65,"formatName (bug nativo)",Rodadas!$C$2:$C$65,"Unitário",Rodadas!$D$2:$D$65,"ZS",Rodadas!$M$2:$M$65,"&lt;&gt;executa")</f>
        <v>0</v>
      </c>
    </row>
    <row r="33" customFormat="false" ht="26.25" hidden="false" customHeight="true" outlineLevel="0" collapsed="false">
      <c r="A33" s="5" t="s">
        <v>163</v>
      </c>
      <c r="B33" s="5" t="s">
        <v>37</v>
      </c>
      <c r="C33" s="5" t="s">
        <v>51</v>
      </c>
      <c r="D33" s="5" t="n">
        <f aca="false">COUNTIFS(Rodadas!$F$2:$F$65,"formatName (bug nativo)",Rodadas!$C$2:$C$65,"Unitário",Rodadas!$D$2:$D$65,"FS")</f>
        <v>1</v>
      </c>
      <c r="E33" s="5" t="n">
        <f aca="false">SUMIFS(Rodadas!$J$2:$J$65,Rodadas!$F$2:$F$65,"formatName (bug nativo)",Rodadas!$C$2:$C$65,"Unitário",Rodadas!$D$2:$D$65,"FS")</f>
        <v>5</v>
      </c>
      <c r="F33" s="5" t="n">
        <f aca="false">SUMIFS(Rodadas!$K$2:$K$65,Rodadas!$F$2:$F$65,"formatName (bug nativo)",Rodadas!$C$2:$C$65,"Unitário",Rodadas!$D$2:$D$65,"FS")</f>
        <v>5</v>
      </c>
      <c r="G33" s="7" t="n">
        <f aca="false">IFERROR(F33/E33,0)</f>
        <v>1</v>
      </c>
      <c r="H33" s="5" t="n">
        <f aca="false">COUNTIFS(Rodadas!$F$2:$F$65,"formatName (bug nativo)",Rodadas!$C$2:$C$65,"Unitário",Rodadas!$D$2:$D$65,"FS",Rodadas!$L$2:$L$65,0,Rodadas!$K$2:$K$65,"&gt;0")</f>
        <v>1</v>
      </c>
      <c r="I33" s="5" t="n">
        <f aca="false">COUNTIFS(Rodadas!$F$2:$F$65,"formatName (bug nativo)",Rodadas!$C$2:$C$65,"Unitário",Rodadas!$D$2:$D$65,"FS",Rodadas!$I$2:$I$65,"Sim")</f>
        <v>1</v>
      </c>
      <c r="J33" s="5" t="n">
        <f aca="false">COUNTIFS(Rodadas!$F$2:$F$65,"formatName (bug nativo)",Rodadas!$C$2:$C$65,"Unitário",Rodadas!$D$2:$D$65,"FS",Rodadas!$O$2:$O$65,"&gt;0")</f>
        <v>0</v>
      </c>
      <c r="K33" s="5" t="n">
        <f aca="false">SUMIFS(Rodadas!$O$2:$O$65,Rodadas!$F$2:$F$65,"formatName (bug nativo)",Rodadas!$C$2:$C$65,"Unitário",Rodadas!$D$2:$D$65,"FS")</f>
        <v>0</v>
      </c>
      <c r="L33" s="8" t="n">
        <f aca="false">IFERROR(K33/D33,0)</f>
        <v>0</v>
      </c>
      <c r="M33" s="5" t="n">
        <f aca="false">COUNTIFS(Rodadas!$F$2:$F$65,"formatName (bug nativo)",Rodadas!$C$2:$C$65,"Unitário",Rodadas!$D$2:$D$65,"FS",Rodadas!$O$2:$O$65,3)</f>
        <v>0</v>
      </c>
      <c r="N33" s="5" t="n">
        <f aca="false">SUMIFS(Rodadas!$P$2:$P$65,Rodadas!$F$2:$F$65,"formatName (bug nativo)",Rodadas!$C$2:$C$65,"Unitário",Rodadas!$D$2:$D$65,"FS")</f>
        <v>1</v>
      </c>
      <c r="O33" s="5" t="n">
        <f aca="false">SUMIFS(Rodadas!$Q$2:$Q$65,Rodadas!$F$2:$F$65,"formatName (bug nativo)",Rodadas!$C$2:$C$65,"Unitário",Rodadas!$D$2:$D$65,"FS")</f>
        <v>0</v>
      </c>
      <c r="P33" s="5" t="n">
        <f aca="false">COUNTIFS(Rodadas!$F$2:$F$65,"formatName (bug nativo)",Rodadas!$C$2:$C$65,"Unitário",Rodadas!$D$2:$D$65,"FS",Rodadas!$Q$2:$Q$65,"&gt;0")</f>
        <v>0</v>
      </c>
      <c r="Q33" s="5" t="n">
        <f aca="false">COUNTIFS(Rodadas!$F$2:$F$65,"formatName (bug nativo)",Rodadas!$C$2:$C$65,"Unitário",Rodadas!$D$2:$D$65,"FS",Rodadas!$M$2:$M$65,"&lt;&gt;executa")</f>
        <v>0</v>
      </c>
    </row>
    <row r="34" customFormat="false" ht="26.25" hidden="false" customHeight="true" outlineLevel="0" collapsed="false">
      <c r="A34" s="5" t="s">
        <v>163</v>
      </c>
      <c r="B34" s="5" t="s">
        <v>37</v>
      </c>
      <c r="C34" s="5" t="s">
        <v>56</v>
      </c>
      <c r="D34" s="5" t="n">
        <f aca="false">COUNTIFS(Rodadas!$F$2:$F$65,"formatName (bug nativo)",Rodadas!$C$2:$C$65,"Unitário",Rodadas!$D$2:$D$65,"COT")</f>
        <v>1</v>
      </c>
      <c r="E34" s="5" t="n">
        <f aca="false">SUMIFS(Rodadas!$J$2:$J$65,Rodadas!$F$2:$F$65,"formatName (bug nativo)",Rodadas!$C$2:$C$65,"Unitário",Rodadas!$D$2:$D$65,"COT")</f>
        <v>9</v>
      </c>
      <c r="F34" s="5" t="n">
        <f aca="false">SUMIFS(Rodadas!$K$2:$K$65,Rodadas!$F$2:$F$65,"formatName (bug nativo)",Rodadas!$C$2:$C$65,"Unitário",Rodadas!$D$2:$D$65,"COT")</f>
        <v>9</v>
      </c>
      <c r="G34" s="7" t="n">
        <f aca="false">IFERROR(F34/E34,0)</f>
        <v>1</v>
      </c>
      <c r="H34" s="5" t="n">
        <f aca="false">COUNTIFS(Rodadas!$F$2:$F$65,"formatName (bug nativo)",Rodadas!$C$2:$C$65,"Unitário",Rodadas!$D$2:$D$65,"COT",Rodadas!$L$2:$L$65,0,Rodadas!$K$2:$K$65,"&gt;0")</f>
        <v>1</v>
      </c>
      <c r="I34" s="5" t="n">
        <f aca="false">COUNTIFS(Rodadas!$F$2:$F$65,"formatName (bug nativo)",Rodadas!$C$2:$C$65,"Unitário",Rodadas!$D$2:$D$65,"COT",Rodadas!$I$2:$I$65,"Sim")</f>
        <v>1</v>
      </c>
      <c r="J34" s="5" t="n">
        <f aca="false">COUNTIFS(Rodadas!$F$2:$F$65,"formatName (bug nativo)",Rodadas!$C$2:$C$65,"Unitário",Rodadas!$D$2:$D$65,"COT",Rodadas!$O$2:$O$65,"&gt;0")</f>
        <v>0</v>
      </c>
      <c r="K34" s="5" t="n">
        <f aca="false">SUMIFS(Rodadas!$O$2:$O$65,Rodadas!$F$2:$F$65,"formatName (bug nativo)",Rodadas!$C$2:$C$65,"Unitário",Rodadas!$D$2:$D$65,"COT")</f>
        <v>0</v>
      </c>
      <c r="L34" s="8" t="n">
        <f aca="false">IFERROR(K34/D34,0)</f>
        <v>0</v>
      </c>
      <c r="M34" s="5" t="n">
        <f aca="false">COUNTIFS(Rodadas!$F$2:$F$65,"formatName (bug nativo)",Rodadas!$C$2:$C$65,"Unitário",Rodadas!$D$2:$D$65,"COT",Rodadas!$O$2:$O$65,3)</f>
        <v>0</v>
      </c>
      <c r="N34" s="5" t="n">
        <f aca="false">SUMIFS(Rodadas!$P$2:$P$65,Rodadas!$F$2:$F$65,"formatName (bug nativo)",Rodadas!$C$2:$C$65,"Unitário",Rodadas!$D$2:$D$65,"COT")</f>
        <v>1</v>
      </c>
      <c r="O34" s="5" t="n">
        <f aca="false">SUMIFS(Rodadas!$Q$2:$Q$65,Rodadas!$F$2:$F$65,"formatName (bug nativo)",Rodadas!$C$2:$C$65,"Unitário",Rodadas!$D$2:$D$65,"COT")</f>
        <v>0</v>
      </c>
      <c r="P34" s="5" t="n">
        <f aca="false">COUNTIFS(Rodadas!$F$2:$F$65,"formatName (bug nativo)",Rodadas!$C$2:$C$65,"Unitário",Rodadas!$D$2:$D$65,"COT",Rodadas!$Q$2:$Q$65,"&gt;0")</f>
        <v>0</v>
      </c>
      <c r="Q34" s="5" t="n">
        <f aca="false">COUNTIFS(Rodadas!$F$2:$F$65,"formatName (bug nativo)",Rodadas!$C$2:$C$65,"Unitário",Rodadas!$D$2:$D$65,"COT",Rodadas!$M$2:$M$65,"&lt;&gt;executa")</f>
        <v>0</v>
      </c>
    </row>
    <row r="35" customFormat="false" ht="15" hidden="false" customHeight="true" outlineLevel="0" collapsed="false">
      <c r="A35" s="9" t="s">
        <v>163</v>
      </c>
      <c r="B35" s="9" t="s">
        <v>37</v>
      </c>
      <c r="C35" s="9" t="s">
        <v>261</v>
      </c>
      <c r="D35" s="9" t="n">
        <f aca="false">COUNTIFS(Rodadas!$F$2:$F$65,"formatName (bug nativo)",Rodadas!$C$2:$C$65,"Unitário")</f>
        <v>3</v>
      </c>
      <c r="E35" s="9" t="n">
        <f aca="false">SUMIFS(Rodadas!$J$2:$J$65,Rodadas!$F$2:$F$65,"formatName (bug nativo)",Rodadas!$C$2:$C$65,"Unitário")</f>
        <v>24</v>
      </c>
      <c r="F35" s="9" t="n">
        <f aca="false">SUMIFS(Rodadas!$K$2:$K$65,Rodadas!$F$2:$F$65,"formatName (bug nativo)",Rodadas!$C$2:$C$65,"Unitário")</f>
        <v>24</v>
      </c>
      <c r="G35" s="10" t="n">
        <f aca="false">IFERROR(F35/E35,0)</f>
        <v>1</v>
      </c>
      <c r="H35" s="9" t="n">
        <f aca="false">COUNTIFS(Rodadas!$F$2:$F$65,"formatName (bug nativo)",Rodadas!$C$2:$C$65,"Unitário",Rodadas!$L$2:$L$65,0,Rodadas!$K$2:$K$65,"&gt;0")</f>
        <v>3</v>
      </c>
      <c r="I35" s="9" t="n">
        <f aca="false">COUNTIFS(Rodadas!$F$2:$F$65,"formatName (bug nativo)",Rodadas!$C$2:$C$65,"Unitário",Rodadas!$I$2:$I$65,"Sim")</f>
        <v>3</v>
      </c>
      <c r="J35" s="9" t="n">
        <f aca="false">COUNTIFS(Rodadas!$F$2:$F$65,"formatName (bug nativo)",Rodadas!$C$2:$C$65,"Unitário",Rodadas!$O$2:$O$65,"&gt;0")</f>
        <v>0</v>
      </c>
      <c r="K35" s="9" t="n">
        <f aca="false">SUMIFS(Rodadas!$O$2:$O$65,Rodadas!$F$2:$F$65,"formatName (bug nativo)",Rodadas!$C$2:$C$65,"Unitário")</f>
        <v>0</v>
      </c>
      <c r="L35" s="11" t="n">
        <f aca="false">IFERROR(K35/D35,0)</f>
        <v>0</v>
      </c>
      <c r="M35" s="9" t="n">
        <f aca="false">COUNTIFS(Rodadas!$F$2:$F$65,"formatName (bug nativo)",Rodadas!$C$2:$C$65,"Unitário",Rodadas!$O$2:$O$65,3)</f>
        <v>0</v>
      </c>
      <c r="N35" s="9" t="n">
        <f aca="false">SUMIFS(Rodadas!$P$2:$P$65,Rodadas!$F$2:$F$65,"formatName (bug nativo)",Rodadas!$C$2:$C$65,"Unitário")</f>
        <v>5</v>
      </c>
      <c r="O35" s="9" t="n">
        <f aca="false">SUMIFS(Rodadas!$Q$2:$Q$65,Rodadas!$F$2:$F$65,"formatName (bug nativo)",Rodadas!$C$2:$C$65,"Unitário")</f>
        <v>2</v>
      </c>
      <c r="P35" s="9" t="n">
        <f aca="false">COUNTIFS(Rodadas!$F$2:$F$65,"formatName (bug nativo)",Rodadas!$C$2:$C$65,"Unitário",Rodadas!$Q$2:$Q$65,"&gt;0")</f>
        <v>1</v>
      </c>
      <c r="Q35" s="9" t="n">
        <f aca="false">COUNTIFS(Rodadas!$F$2:$F$65,"formatName (bug nativo)",Rodadas!$C$2:$C$65,"Unitário",Rodadas!$M$2:$M$65,"&lt;&gt;executa")</f>
        <v>0</v>
      </c>
    </row>
    <row r="36" customFormat="false" ht="15" hidden="false" customHeight="true" outlineLevel="0" collapsed="false">
      <c r="A36" s="12" t="s">
        <v>163</v>
      </c>
      <c r="B36" s="12" t="s">
        <v>262</v>
      </c>
      <c r="C36" s="12" t="s">
        <v>261</v>
      </c>
      <c r="D36" s="12" t="n">
        <f aca="false">COUNTIFS(Rodadas!$F$2:$F$65,"formatName (bug nativo)")</f>
        <v>3</v>
      </c>
      <c r="E36" s="12" t="n">
        <f aca="false">SUMIFS(Rodadas!$J$2:$J$65,Rodadas!$F$2:$F$65,"formatName (bug nativo)")</f>
        <v>24</v>
      </c>
      <c r="F36" s="12" t="n">
        <f aca="false">SUMIFS(Rodadas!$K$2:$K$65,Rodadas!$F$2:$F$65,"formatName (bug nativo)")</f>
        <v>24</v>
      </c>
      <c r="G36" s="13" t="n">
        <f aca="false">IFERROR(F36/E36,0)</f>
        <v>1</v>
      </c>
      <c r="H36" s="12" t="n">
        <f aca="false">COUNTIFS(Rodadas!$F$2:$F$65,"formatName (bug nativo)",Rodadas!$L$2:$L$65,0,Rodadas!$K$2:$K$65,"&gt;0")</f>
        <v>3</v>
      </c>
      <c r="I36" s="12" t="n">
        <f aca="false">COUNTIFS(Rodadas!$F$2:$F$65,"formatName (bug nativo)",Rodadas!$I$2:$I$65,"Sim")</f>
        <v>3</v>
      </c>
      <c r="J36" s="12" t="n">
        <f aca="false">COUNTIFS(Rodadas!$F$2:$F$65,"formatName (bug nativo)",Rodadas!$O$2:$O$65,"&gt;0")</f>
        <v>0</v>
      </c>
      <c r="K36" s="12" t="n">
        <f aca="false">SUMIFS(Rodadas!$O$2:$O$65,Rodadas!$F$2:$F$65,"formatName (bug nativo)")</f>
        <v>0</v>
      </c>
      <c r="L36" s="14" t="n">
        <f aca="false">IFERROR(K36/D36,0)</f>
        <v>0</v>
      </c>
      <c r="M36" s="12" t="n">
        <f aca="false">COUNTIFS(Rodadas!$F$2:$F$65,"formatName (bug nativo)",Rodadas!$O$2:$O$65,3)</f>
        <v>0</v>
      </c>
      <c r="N36" s="12" t="n">
        <f aca="false">SUMIFS(Rodadas!$P$2:$P$65,Rodadas!$F$2:$F$65,"formatName (bug nativo)")</f>
        <v>5</v>
      </c>
      <c r="O36" s="12" t="n">
        <f aca="false">SUMIFS(Rodadas!$Q$2:$Q$65,Rodadas!$F$2:$F$65,"formatName (bug nativo)")</f>
        <v>2</v>
      </c>
      <c r="P36" s="12" t="n">
        <f aca="false">COUNTIFS(Rodadas!$F$2:$F$65,"formatName (bug nativo)",Rodadas!$Q$2:$Q$65,"&gt;0")</f>
        <v>1</v>
      </c>
      <c r="Q36" s="12" t="n">
        <f aca="false">COUNTIFS(Rodadas!$F$2:$F$65,"formatName (bug nativo)",Rodadas!$M$2:$M$65,"&lt;&gt;executa")</f>
        <v>0</v>
      </c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7"/>
      <c r="H37" s="5"/>
      <c r="I37" s="5"/>
      <c r="J37" s="5"/>
      <c r="K37" s="5"/>
      <c r="L37" s="8"/>
      <c r="M37" s="5"/>
      <c r="N37" s="5"/>
      <c r="O37" s="5"/>
      <c r="P37" s="5"/>
      <c r="Q37" s="5"/>
    </row>
    <row r="38" customFormat="false" ht="15" hidden="false" customHeight="true" outlineLevel="0" collapsed="false">
      <c r="A38" s="15" t="s">
        <v>263</v>
      </c>
      <c r="B38" s="5"/>
      <c r="C38" s="5"/>
      <c r="D38" s="5"/>
      <c r="E38" s="5"/>
      <c r="F38" s="5"/>
      <c r="G38" s="7"/>
      <c r="H38" s="5"/>
      <c r="I38" s="5"/>
      <c r="J38" s="5"/>
      <c r="K38" s="5"/>
      <c r="L38" s="8"/>
      <c r="M38" s="5"/>
      <c r="N38" s="5"/>
      <c r="O38" s="5"/>
      <c r="P38" s="5"/>
      <c r="Q38" s="5"/>
    </row>
    <row r="39" customFormat="false" ht="15" hidden="false" customHeight="true" outlineLevel="0" collapsed="false">
      <c r="A39" s="5" t="s">
        <v>132</v>
      </c>
      <c r="B39" s="5" t="s">
        <v>262</v>
      </c>
      <c r="C39" s="5" t="s">
        <v>38</v>
      </c>
      <c r="D39" s="5" t="n">
        <f aca="false">COUNTIFS(Rodadas!$F$2:$F$65,"Limpo",Rodadas!$D$2:$D$65,"ZS")</f>
        <v>13</v>
      </c>
      <c r="E39" s="5" t="n">
        <f aca="false">SUMIFS(Rodadas!$J$2:$J$65,Rodadas!$F$2:$F$65,"Limpo",Rodadas!$D$2:$D$65,"ZS")</f>
        <v>147</v>
      </c>
      <c r="F39" s="5" t="n">
        <f aca="false">SUMIFS(Rodadas!$K$2:$K$65,Rodadas!$F$2:$F$65,"Limpo",Rodadas!$D$2:$D$65,"ZS")</f>
        <v>142</v>
      </c>
      <c r="G39" s="7" t="n">
        <f aca="false">IFERROR(F39/E39,0)</f>
        <v>0.965986394557823</v>
      </c>
      <c r="H39" s="5" t="n">
        <f aca="false">COUNTIFS(Rodadas!$F$2:$F$65,"Limpo",Rodadas!$D$2:$D$65,"ZS",Rodadas!$L$2:$L$65,0,Rodadas!$K$2:$K$65,"&gt;0")</f>
        <v>11</v>
      </c>
      <c r="I39" s="5" t="n">
        <f aca="false">COUNTIFS(Rodadas!$F$2:$F$65,"Limpo",Rodadas!$D$2:$D$65,"ZS",Rodadas!$I$2:$I$65,"Sim")</f>
        <v>11</v>
      </c>
      <c r="J39" s="5" t="n">
        <f aca="false">COUNTIFS(Rodadas!$F$2:$F$65,"Limpo",Rodadas!$D$2:$D$65,"ZS",Rodadas!$O$2:$O$65,"&gt;0")</f>
        <v>5</v>
      </c>
      <c r="K39" s="5" t="n">
        <f aca="false">SUMIFS(Rodadas!$O$2:$O$65,Rodadas!$F$2:$F$65,"Limpo",Rodadas!$D$2:$D$65,"ZS")</f>
        <v>12</v>
      </c>
      <c r="L39" s="8" t="n">
        <f aca="false">IFERROR(K39/D39,0)</f>
        <v>0.923076923076923</v>
      </c>
      <c r="M39" s="5" t="n">
        <f aca="false">COUNTIFS(Rodadas!$F$2:$F$65,"Limpo",Rodadas!$D$2:$D$65,"ZS",Rodadas!$O$2:$O$65,3)</f>
        <v>3</v>
      </c>
      <c r="N39" s="5" t="n">
        <f aca="false">SUMIFS(Rodadas!$P$2:$P$65,Rodadas!$F$2:$F$65,"Limpo",Rodadas!$D$2:$D$65,"ZS")</f>
        <v>18</v>
      </c>
      <c r="O39" s="5" t="n">
        <f aca="false">SUMIFS(Rodadas!$Q$2:$Q$65,Rodadas!$F$2:$F$65,"Limpo",Rodadas!$D$2:$D$65,"ZS")</f>
        <v>4</v>
      </c>
      <c r="P39" s="5" t="n">
        <f aca="false">COUNTIFS(Rodadas!$F$2:$F$65,"Limpo",Rodadas!$D$2:$D$65,"ZS",Rodadas!$Q$2:$Q$65,"&gt;0")</f>
        <v>3</v>
      </c>
      <c r="Q39" s="5" t="n">
        <f aca="false">COUNTIFS(Rodadas!$F$2:$F$65,"Limpo",Rodadas!$D$2:$D$65,"ZS",Rodadas!$M$2:$M$65,"&lt;&gt;executa")</f>
        <v>1</v>
      </c>
    </row>
    <row r="40" customFormat="false" ht="15" hidden="false" customHeight="true" outlineLevel="0" collapsed="false">
      <c r="A40" s="5" t="s">
        <v>132</v>
      </c>
      <c r="B40" s="5" t="s">
        <v>262</v>
      </c>
      <c r="C40" s="5" t="s">
        <v>51</v>
      </c>
      <c r="D40" s="5" t="n">
        <f aca="false">COUNTIFS(Rodadas!$F$2:$F$65,"Limpo",Rodadas!$D$2:$D$65,"FS")</f>
        <v>13</v>
      </c>
      <c r="E40" s="5" t="n">
        <f aca="false">SUMIFS(Rodadas!$J$2:$J$65,Rodadas!$F$2:$F$65,"Limpo",Rodadas!$D$2:$D$65,"FS")</f>
        <v>82</v>
      </c>
      <c r="F40" s="5" t="n">
        <f aca="false">SUMIFS(Rodadas!$K$2:$K$65,Rodadas!$F$2:$F$65,"Limpo",Rodadas!$D$2:$D$65,"FS")</f>
        <v>77</v>
      </c>
      <c r="G40" s="7" t="n">
        <f aca="false">IFERROR(F40/E40,0)</f>
        <v>0.939024390243902</v>
      </c>
      <c r="H40" s="5" t="n">
        <f aca="false">COUNTIFS(Rodadas!$F$2:$F$65,"Limpo",Rodadas!$D$2:$D$65,"FS",Rodadas!$L$2:$L$65,0,Rodadas!$K$2:$K$65,"&gt;0")</f>
        <v>11</v>
      </c>
      <c r="I40" s="5" t="n">
        <f aca="false">COUNTIFS(Rodadas!$F$2:$F$65,"Limpo",Rodadas!$D$2:$D$65,"FS",Rodadas!$I$2:$I$65,"Sim")</f>
        <v>11</v>
      </c>
      <c r="J40" s="5" t="n">
        <f aca="false">COUNTIFS(Rodadas!$F$2:$F$65,"Limpo",Rodadas!$D$2:$D$65,"FS",Rodadas!$O$2:$O$65,"&gt;0")</f>
        <v>4</v>
      </c>
      <c r="K40" s="5" t="n">
        <f aca="false">SUMIFS(Rodadas!$O$2:$O$65,Rodadas!$F$2:$F$65,"Limpo",Rodadas!$D$2:$D$65,"FS")</f>
        <v>9</v>
      </c>
      <c r="L40" s="8" t="n">
        <f aca="false">IFERROR(K40/D40,0)</f>
        <v>0.692307692307692</v>
      </c>
      <c r="M40" s="5" t="n">
        <f aca="false">COUNTIFS(Rodadas!$F$2:$F$65,"Limpo",Rodadas!$D$2:$D$65,"FS",Rodadas!$O$2:$O$65,3)</f>
        <v>2</v>
      </c>
      <c r="N40" s="5" t="n">
        <f aca="false">SUMIFS(Rodadas!$P$2:$P$65,Rodadas!$F$2:$F$65,"Limpo",Rodadas!$D$2:$D$65,"FS")</f>
        <v>19</v>
      </c>
      <c r="O40" s="5" t="n">
        <f aca="false">SUMIFS(Rodadas!$Q$2:$Q$65,Rodadas!$F$2:$F$65,"Limpo",Rodadas!$D$2:$D$65,"FS")</f>
        <v>6</v>
      </c>
      <c r="P40" s="5" t="n">
        <f aca="false">COUNTIFS(Rodadas!$F$2:$F$65,"Limpo",Rodadas!$D$2:$D$65,"FS",Rodadas!$Q$2:$Q$65,"&gt;0")</f>
        <v>6</v>
      </c>
      <c r="Q40" s="5" t="n">
        <f aca="false">COUNTIFS(Rodadas!$F$2:$F$65,"Limpo",Rodadas!$D$2:$D$65,"FS",Rodadas!$M$2:$M$65,"&lt;&gt;executa")</f>
        <v>0</v>
      </c>
    </row>
    <row r="41" customFormat="false" ht="15" hidden="false" customHeight="true" outlineLevel="0" collapsed="false">
      <c r="A41" s="5" t="s">
        <v>132</v>
      </c>
      <c r="B41" s="5" t="s">
        <v>262</v>
      </c>
      <c r="C41" s="5" t="s">
        <v>56</v>
      </c>
      <c r="D41" s="5" t="n">
        <f aca="false">COUNTIFS(Rodadas!$F$2:$F$65,"Limpo",Rodadas!$D$2:$D$65,"COT")</f>
        <v>13</v>
      </c>
      <c r="E41" s="5" t="n">
        <f aca="false">SUMIFS(Rodadas!$J$2:$J$65,Rodadas!$F$2:$F$65,"Limpo",Rodadas!$D$2:$D$65,"COT")</f>
        <v>147</v>
      </c>
      <c r="F41" s="5" t="n">
        <f aca="false">SUMIFS(Rodadas!$K$2:$K$65,Rodadas!$F$2:$F$65,"Limpo",Rodadas!$D$2:$D$65,"COT")</f>
        <v>123</v>
      </c>
      <c r="G41" s="7" t="n">
        <f aca="false">IFERROR(F41/E41,0)</f>
        <v>0.836734693877551</v>
      </c>
      <c r="H41" s="5" t="n">
        <f aca="false">COUNTIFS(Rodadas!$F$2:$F$65,"Limpo",Rodadas!$D$2:$D$65,"COT",Rodadas!$L$2:$L$65,0,Rodadas!$K$2:$K$65,"&gt;0")</f>
        <v>9</v>
      </c>
      <c r="I41" s="5" t="n">
        <f aca="false">COUNTIFS(Rodadas!$F$2:$F$65,"Limpo",Rodadas!$D$2:$D$65,"COT",Rodadas!$I$2:$I$65,"Sim")</f>
        <v>9</v>
      </c>
      <c r="J41" s="5" t="n">
        <f aca="false">COUNTIFS(Rodadas!$F$2:$F$65,"Limpo",Rodadas!$D$2:$D$65,"COT",Rodadas!$O$2:$O$65,"&gt;0")</f>
        <v>7</v>
      </c>
      <c r="K41" s="5" t="n">
        <f aca="false">SUMIFS(Rodadas!$O$2:$O$65,Rodadas!$F$2:$F$65,"Limpo",Rodadas!$D$2:$D$65,"COT")</f>
        <v>18</v>
      </c>
      <c r="L41" s="8" t="n">
        <f aca="false">IFERROR(K41/D41,0)</f>
        <v>1.38461538461538</v>
      </c>
      <c r="M41" s="5" t="n">
        <f aca="false">COUNTIFS(Rodadas!$F$2:$F$65,"Limpo",Rodadas!$D$2:$D$65,"COT",Rodadas!$O$2:$O$65,3)</f>
        <v>5</v>
      </c>
      <c r="N41" s="5" t="n">
        <f aca="false">SUMIFS(Rodadas!$P$2:$P$65,Rodadas!$F$2:$F$65,"Limpo",Rodadas!$D$2:$D$65,"COT")</f>
        <v>22</v>
      </c>
      <c r="O41" s="5" t="n">
        <f aca="false">SUMIFS(Rodadas!$Q$2:$Q$65,Rodadas!$F$2:$F$65,"Limpo",Rodadas!$D$2:$D$65,"COT")</f>
        <v>7</v>
      </c>
      <c r="P41" s="5" t="n">
        <f aca="false">COUNTIFS(Rodadas!$F$2:$F$65,"Limpo",Rodadas!$D$2:$D$65,"COT",Rodadas!$Q$2:$Q$65,"&gt;0")</f>
        <v>5</v>
      </c>
      <c r="Q41" s="5" t="n">
        <f aca="false">COUNTIFS(Rodadas!$F$2:$F$65,"Limpo",Rodadas!$D$2:$D$65,"COT",Rodadas!$M$2:$M$65,"&lt;&gt;executa")</f>
        <v>1</v>
      </c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7"/>
      <c r="H42" s="5"/>
      <c r="I42" s="5"/>
      <c r="J42" s="5"/>
      <c r="K42" s="5"/>
      <c r="L42" s="8"/>
      <c r="M42" s="5"/>
      <c r="N42" s="5"/>
      <c r="O42" s="5"/>
      <c r="P42" s="5"/>
      <c r="Q42" s="5"/>
    </row>
    <row r="43" customFormat="false" ht="15" hidden="false" customHeight="true" outlineLevel="0" collapsed="false">
      <c r="A43" s="15" t="s">
        <v>264</v>
      </c>
      <c r="B43" s="5"/>
      <c r="C43" s="5"/>
      <c r="D43" s="5"/>
      <c r="E43" s="5"/>
      <c r="F43" s="5"/>
      <c r="G43" s="7"/>
      <c r="H43" s="5"/>
      <c r="I43" s="5"/>
      <c r="J43" s="5"/>
      <c r="K43" s="5"/>
      <c r="L43" s="8"/>
      <c r="M43" s="5"/>
      <c r="N43" s="5"/>
      <c r="O43" s="5"/>
      <c r="P43" s="5"/>
      <c r="Q43" s="5"/>
    </row>
    <row r="44" customFormat="false" ht="15" hidden="false" customHeight="true" outlineLevel="0" collapsed="false">
      <c r="A44" s="5" t="s">
        <v>40</v>
      </c>
      <c r="B44" s="5" t="s">
        <v>262</v>
      </c>
      <c r="C44" s="5" t="s">
        <v>38</v>
      </c>
      <c r="D44" s="5" t="n">
        <f aca="false">COUNTIFS(Rodadas!$F$2:$F$65,"Bug plantado",Rodadas!$D$2:$D$65,"ZS")</f>
        <v>6</v>
      </c>
      <c r="E44" s="5" t="n">
        <f aca="false">SUMIFS(Rodadas!$J$2:$J$65,Rodadas!$F$2:$F$65,"Bug plantado",Rodadas!$D$2:$D$65,"ZS")</f>
        <v>41</v>
      </c>
      <c r="F44" s="5" t="n">
        <f aca="false">SUMIFS(Rodadas!$K$2:$K$65,Rodadas!$F$2:$F$65,"Bug plantado",Rodadas!$D$2:$D$65,"ZS")</f>
        <v>36</v>
      </c>
      <c r="G44" s="7" t="n">
        <f aca="false">IFERROR(F44/E44,0)</f>
        <v>0.878048780487805</v>
      </c>
      <c r="H44" s="5" t="n">
        <f aca="false">COUNTIFS(Rodadas!$F$2:$F$65,"Bug plantado",Rodadas!$D$2:$D$65,"ZS",Rodadas!$L$2:$L$65,0,Rodadas!$K$2:$K$65,"&gt;0")</f>
        <v>4</v>
      </c>
      <c r="I44" s="5" t="n">
        <f aca="false">COUNTIFS(Rodadas!$F$2:$F$65,"Bug plantado",Rodadas!$D$2:$D$65,"ZS",Rodadas!$I$2:$I$65,"Sim")</f>
        <v>5</v>
      </c>
      <c r="J44" s="5" t="n">
        <f aca="false">COUNTIFS(Rodadas!$F$2:$F$65,"Bug plantado",Rodadas!$D$2:$D$65,"ZS",Rodadas!$O$2:$O$65,"&gt;0")</f>
        <v>3</v>
      </c>
      <c r="K44" s="5" t="n">
        <f aca="false">SUMIFS(Rodadas!$O$2:$O$65,Rodadas!$F$2:$F$65,"Bug plantado",Rodadas!$D$2:$D$65,"ZS")</f>
        <v>6</v>
      </c>
      <c r="L44" s="8" t="n">
        <f aca="false">IFERROR(K44/D44,0)</f>
        <v>1</v>
      </c>
      <c r="M44" s="5" t="n">
        <f aca="false">COUNTIFS(Rodadas!$F$2:$F$65,"Bug plantado",Rodadas!$D$2:$D$65,"ZS",Rodadas!$O$2:$O$65,3)</f>
        <v>1</v>
      </c>
      <c r="N44" s="5" t="n">
        <f aca="false">SUMIFS(Rodadas!$P$2:$P$65,Rodadas!$F$2:$F$65,"Bug plantado",Rodadas!$D$2:$D$65,"ZS")</f>
        <v>7</v>
      </c>
      <c r="O44" s="5" t="n">
        <f aca="false">SUMIFS(Rodadas!$Q$2:$Q$65,Rodadas!$F$2:$F$65,"Bug plantado",Rodadas!$D$2:$D$65,"ZS")</f>
        <v>1</v>
      </c>
      <c r="P44" s="5" t="n">
        <f aca="false">COUNTIFS(Rodadas!$F$2:$F$65,"Bug plantado",Rodadas!$D$2:$D$65,"ZS",Rodadas!$Q$2:$Q$65,"&gt;0")</f>
        <v>1</v>
      </c>
      <c r="Q44" s="5" t="n">
        <f aca="false">COUNTIFS(Rodadas!$F$2:$F$65,"Bug plantado",Rodadas!$D$2:$D$65,"ZS",Rodadas!$M$2:$M$65,"&lt;&gt;executa")</f>
        <v>0</v>
      </c>
    </row>
    <row r="45" customFormat="false" ht="15" hidden="false" customHeight="true" outlineLevel="0" collapsed="false">
      <c r="A45" s="5" t="s">
        <v>40</v>
      </c>
      <c r="B45" s="5" t="s">
        <v>262</v>
      </c>
      <c r="C45" s="5" t="s">
        <v>51</v>
      </c>
      <c r="D45" s="5" t="n">
        <f aca="false">COUNTIFS(Rodadas!$F$2:$F$65,"Bug plantado",Rodadas!$D$2:$D$65,"FS")</f>
        <v>6</v>
      </c>
      <c r="E45" s="5" t="n">
        <f aca="false">SUMIFS(Rodadas!$J$2:$J$65,Rodadas!$F$2:$F$65,"Bug plantado",Rodadas!$D$2:$D$65,"FS")</f>
        <v>31</v>
      </c>
      <c r="F45" s="5" t="n">
        <f aca="false">SUMIFS(Rodadas!$K$2:$K$65,Rodadas!$F$2:$F$65,"Bug plantado",Rodadas!$D$2:$D$65,"FS")</f>
        <v>24</v>
      </c>
      <c r="G45" s="7" t="n">
        <f aca="false">IFERROR(F45/E45,0)</f>
        <v>0.774193548387097</v>
      </c>
      <c r="H45" s="5" t="n">
        <f aca="false">COUNTIFS(Rodadas!$F$2:$F$65,"Bug plantado",Rodadas!$D$2:$D$65,"FS",Rodadas!$L$2:$L$65,0,Rodadas!$K$2:$K$65,"&gt;0")</f>
        <v>3</v>
      </c>
      <c r="I45" s="5" t="n">
        <f aca="false">COUNTIFS(Rodadas!$F$2:$F$65,"Bug plantado",Rodadas!$D$2:$D$65,"FS",Rodadas!$I$2:$I$65,"Sim")</f>
        <v>2</v>
      </c>
      <c r="J45" s="5" t="n">
        <f aca="false">COUNTIFS(Rodadas!$F$2:$F$65,"Bug plantado",Rodadas!$D$2:$D$65,"FS",Rodadas!$O$2:$O$65,"&gt;0")</f>
        <v>4</v>
      </c>
      <c r="K45" s="5" t="n">
        <f aca="false">SUMIFS(Rodadas!$O$2:$O$65,Rodadas!$F$2:$F$65,"Bug plantado",Rodadas!$D$2:$D$65,"FS")</f>
        <v>10</v>
      </c>
      <c r="L45" s="8" t="n">
        <f aca="false">IFERROR(K45/D45,0)</f>
        <v>1.66666666666667</v>
      </c>
      <c r="M45" s="5" t="n">
        <f aca="false">COUNTIFS(Rodadas!$F$2:$F$65,"Bug plantado",Rodadas!$D$2:$D$65,"FS",Rodadas!$O$2:$O$65,3)</f>
        <v>2</v>
      </c>
      <c r="N45" s="5" t="n">
        <f aca="false">SUMIFS(Rodadas!$P$2:$P$65,Rodadas!$F$2:$F$65,"Bug plantado",Rodadas!$D$2:$D$65,"FS")</f>
        <v>6</v>
      </c>
      <c r="O45" s="5" t="n">
        <f aca="false">SUMIFS(Rodadas!$Q$2:$Q$65,Rodadas!$F$2:$F$65,"Bug plantado",Rodadas!$D$2:$D$65,"FS")</f>
        <v>0</v>
      </c>
      <c r="P45" s="5" t="n">
        <f aca="false">COUNTIFS(Rodadas!$F$2:$F$65,"Bug plantado",Rodadas!$D$2:$D$65,"FS",Rodadas!$Q$2:$Q$65,"&gt;0")</f>
        <v>0</v>
      </c>
      <c r="Q45" s="5" t="n">
        <f aca="false">COUNTIFS(Rodadas!$F$2:$F$65,"Bug plantado",Rodadas!$D$2:$D$65,"FS",Rodadas!$M$2:$M$65,"&lt;&gt;executa")</f>
        <v>1</v>
      </c>
    </row>
    <row r="46" customFormat="false" ht="15" hidden="false" customHeight="true" outlineLevel="0" collapsed="false">
      <c r="A46" s="5" t="s">
        <v>40</v>
      </c>
      <c r="B46" s="5" t="s">
        <v>262</v>
      </c>
      <c r="C46" s="5" t="s">
        <v>56</v>
      </c>
      <c r="D46" s="5" t="n">
        <f aca="false">COUNTIFS(Rodadas!$F$2:$F$65,"Bug plantado",Rodadas!$D$2:$D$65,"COT")</f>
        <v>6</v>
      </c>
      <c r="E46" s="5" t="n">
        <f aca="false">SUMIFS(Rodadas!$J$2:$J$65,Rodadas!$F$2:$F$65,"Bug plantado",Rodadas!$D$2:$D$65,"COT")</f>
        <v>47</v>
      </c>
      <c r="F46" s="5" t="n">
        <f aca="false">SUMIFS(Rodadas!$K$2:$K$65,Rodadas!$F$2:$F$65,"Bug plantado",Rodadas!$D$2:$D$65,"COT")</f>
        <v>42</v>
      </c>
      <c r="G46" s="7" t="n">
        <f aca="false">IFERROR(F46/E46,0)</f>
        <v>0.893617021276596</v>
      </c>
      <c r="H46" s="5" t="n">
        <f aca="false">COUNTIFS(Rodadas!$F$2:$F$65,"Bug plantado",Rodadas!$D$2:$D$65,"COT",Rodadas!$L$2:$L$65,0,Rodadas!$K$2:$K$65,"&gt;0")</f>
        <v>4</v>
      </c>
      <c r="I46" s="5" t="n">
        <f aca="false">COUNTIFS(Rodadas!$F$2:$F$65,"Bug plantado",Rodadas!$D$2:$D$65,"COT",Rodadas!$I$2:$I$65,"Sim")</f>
        <v>5</v>
      </c>
      <c r="J46" s="5" t="n">
        <f aca="false">COUNTIFS(Rodadas!$F$2:$F$65,"Bug plantado",Rodadas!$D$2:$D$65,"COT",Rodadas!$O$2:$O$65,"&gt;0")</f>
        <v>3</v>
      </c>
      <c r="K46" s="5" t="n">
        <f aca="false">SUMIFS(Rodadas!$O$2:$O$65,Rodadas!$F$2:$F$65,"Bug plantado",Rodadas!$D$2:$D$65,"COT")</f>
        <v>5</v>
      </c>
      <c r="L46" s="8" t="n">
        <f aca="false">IFERROR(K46/D46,0)</f>
        <v>0.833333333333333</v>
      </c>
      <c r="M46" s="5" t="n">
        <f aca="false">COUNTIFS(Rodadas!$F$2:$F$65,"Bug plantado",Rodadas!$D$2:$D$65,"COT",Rodadas!$O$2:$O$65,3)</f>
        <v>1</v>
      </c>
      <c r="N46" s="5" t="n">
        <f aca="false">SUMIFS(Rodadas!$P$2:$P$65,Rodadas!$F$2:$F$65,"Bug plantado",Rodadas!$D$2:$D$65,"COT")</f>
        <v>7</v>
      </c>
      <c r="O46" s="5" t="n">
        <f aca="false">SUMIFS(Rodadas!$Q$2:$Q$65,Rodadas!$F$2:$F$65,"Bug plantado",Rodadas!$D$2:$D$65,"COT")</f>
        <v>1</v>
      </c>
      <c r="P46" s="5" t="n">
        <f aca="false">COUNTIFS(Rodadas!$F$2:$F$65,"Bug plantado",Rodadas!$D$2:$D$65,"COT",Rodadas!$Q$2:$Q$65,"&gt;0")</f>
        <v>1</v>
      </c>
      <c r="Q46" s="5" t="n">
        <f aca="false">COUNTIFS(Rodadas!$F$2:$F$65,"Bug plantado",Rodadas!$D$2:$D$65,"COT",Rodadas!$M$2:$M$65,"&lt;&gt;executa")</f>
        <v>0</v>
      </c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7"/>
      <c r="H47" s="5"/>
      <c r="I47" s="5"/>
      <c r="J47" s="5"/>
      <c r="K47" s="5"/>
      <c r="L47" s="8"/>
      <c r="M47" s="5"/>
      <c r="N47" s="5"/>
      <c r="O47" s="5"/>
      <c r="P47" s="5"/>
      <c r="Q47" s="5"/>
    </row>
    <row r="48" customFormat="false" ht="165.75" hidden="false" customHeight="true" outlineLevel="0" collapsed="false">
      <c r="A48" s="5" t="s">
        <v>265</v>
      </c>
      <c r="B48" s="5"/>
      <c r="C48" s="5"/>
      <c r="D48" s="5"/>
      <c r="E48" s="5"/>
      <c r="F48" s="5"/>
      <c r="G48" s="7"/>
      <c r="H48" s="5"/>
      <c r="I48" s="5"/>
      <c r="J48" s="5"/>
      <c r="K48" s="5"/>
      <c r="L48" s="8"/>
      <c r="M48" s="5"/>
      <c r="N48" s="5"/>
      <c r="O48" s="5"/>
      <c r="P48" s="5"/>
      <c r="Q4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60"/>
  </cols>
  <sheetData>
    <row r="1" customFormat="false" ht="15" hidden="false" customHeight="true" outlineLevel="0" collapsed="false">
      <c r="A1" s="6" t="s">
        <v>266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</row>
    <row r="3" customFormat="false" ht="39" hidden="false" customHeight="true" outlineLevel="0" collapsed="false">
      <c r="A3" s="4" t="s">
        <v>20</v>
      </c>
      <c r="B3" s="4" t="s">
        <v>16</v>
      </c>
      <c r="C3" s="4" t="s">
        <v>18</v>
      </c>
      <c r="D3" s="4" t="s">
        <v>267</v>
      </c>
      <c r="E3" s="4" t="s">
        <v>38</v>
      </c>
      <c r="F3" s="4" t="s">
        <v>51</v>
      </c>
      <c r="G3" s="4" t="s">
        <v>56</v>
      </c>
      <c r="H3" s="4" t="s">
        <v>268</v>
      </c>
      <c r="I3" s="4" t="s">
        <v>269</v>
      </c>
    </row>
    <row r="4" customFormat="false" ht="15" hidden="false" customHeight="true" outlineLevel="0" collapsed="false">
      <c r="A4" s="5" t="s">
        <v>41</v>
      </c>
      <c r="B4" s="5" t="s">
        <v>37</v>
      </c>
      <c r="C4" s="5" t="s">
        <v>39</v>
      </c>
      <c r="D4" s="5" t="s">
        <v>270</v>
      </c>
      <c r="E4" s="5" t="s">
        <v>271</v>
      </c>
      <c r="F4" s="5" t="s">
        <v>272</v>
      </c>
      <c r="G4" s="5" t="s">
        <v>273</v>
      </c>
      <c r="H4" s="5" t="s">
        <v>274</v>
      </c>
      <c r="I4" s="5" t="s">
        <v>275</v>
      </c>
    </row>
    <row r="5" customFormat="false" ht="26.25" hidden="false" customHeight="true" outlineLevel="0" collapsed="false">
      <c r="A5" s="5" t="s">
        <v>62</v>
      </c>
      <c r="B5" s="5" t="s">
        <v>37</v>
      </c>
      <c r="C5" s="5" t="s">
        <v>61</v>
      </c>
      <c r="D5" s="5" t="s">
        <v>276</v>
      </c>
      <c r="E5" s="5" t="s">
        <v>277</v>
      </c>
      <c r="F5" s="5" t="s">
        <v>278</v>
      </c>
      <c r="G5" s="5" t="s">
        <v>279</v>
      </c>
      <c r="H5" s="5" t="s">
        <v>280</v>
      </c>
      <c r="I5" s="5" t="s">
        <v>281</v>
      </c>
    </row>
    <row r="6" customFormat="false" ht="26.25" hidden="false" customHeight="true" outlineLevel="0" collapsed="false">
      <c r="A6" s="5" t="s">
        <v>73</v>
      </c>
      <c r="B6" s="5" t="s">
        <v>71</v>
      </c>
      <c r="C6" s="5" t="s">
        <v>72</v>
      </c>
      <c r="D6" s="5" t="s">
        <v>270</v>
      </c>
      <c r="E6" s="5" t="s">
        <v>282</v>
      </c>
      <c r="F6" s="5" t="s">
        <v>283</v>
      </c>
      <c r="G6" s="5" t="s">
        <v>284</v>
      </c>
      <c r="H6" s="5" t="s">
        <v>285</v>
      </c>
      <c r="I6" s="5" t="s">
        <v>286</v>
      </c>
    </row>
    <row r="7" customFormat="false" ht="26.25" hidden="false" customHeight="true" outlineLevel="0" collapsed="false">
      <c r="A7" s="5" t="s">
        <v>87</v>
      </c>
      <c r="B7" s="5" t="s">
        <v>71</v>
      </c>
      <c r="C7" s="5" t="s">
        <v>86</v>
      </c>
      <c r="D7" s="5" t="s">
        <v>276</v>
      </c>
      <c r="E7" s="5" t="s">
        <v>287</v>
      </c>
      <c r="F7" s="5" t="s">
        <v>288</v>
      </c>
      <c r="G7" s="5" t="s">
        <v>289</v>
      </c>
      <c r="H7" s="5" t="s">
        <v>290</v>
      </c>
      <c r="I7" s="5" t="s">
        <v>291</v>
      </c>
    </row>
    <row r="8" customFormat="false" ht="39" hidden="false" customHeight="true" outlineLevel="0" collapsed="false">
      <c r="A8" s="5" t="s">
        <v>104</v>
      </c>
      <c r="B8" s="5" t="s">
        <v>102</v>
      </c>
      <c r="C8" s="5" t="s">
        <v>103</v>
      </c>
      <c r="D8" s="5" t="s">
        <v>270</v>
      </c>
      <c r="E8" s="5" t="s">
        <v>292</v>
      </c>
      <c r="F8" s="5" t="s">
        <v>293</v>
      </c>
      <c r="G8" s="5" t="s">
        <v>294</v>
      </c>
      <c r="H8" s="5" t="s">
        <v>295</v>
      </c>
      <c r="I8" s="5" t="s">
        <v>296</v>
      </c>
    </row>
    <row r="9" customFormat="false" ht="26.25" hidden="false" customHeight="true" outlineLevel="0" collapsed="false">
      <c r="A9" s="5" t="s">
        <v>118</v>
      </c>
      <c r="B9" s="5" t="s">
        <v>102</v>
      </c>
      <c r="C9" s="5" t="s">
        <v>72</v>
      </c>
      <c r="D9" s="5" t="s">
        <v>276</v>
      </c>
      <c r="E9" s="5" t="s">
        <v>297</v>
      </c>
      <c r="F9" s="5" t="s">
        <v>298</v>
      </c>
      <c r="G9" s="5" t="s">
        <v>299</v>
      </c>
      <c r="H9" s="5" t="s">
        <v>300</v>
      </c>
      <c r="I9" s="5" t="s">
        <v>301</v>
      </c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true" outlineLevel="0" collapsed="false">
      <c r="A11" s="5" t="s">
        <v>302</v>
      </c>
      <c r="B11" s="5"/>
      <c r="C11" s="5"/>
      <c r="D11" s="5"/>
      <c r="E11" s="5"/>
      <c r="F11" s="5"/>
      <c r="G11" s="5"/>
      <c r="H11" s="5"/>
      <c r="I11" s="5"/>
    </row>
    <row r="12" customFormat="false" ht="597.75" hidden="false" customHeight="true" outlineLevel="0" collapsed="false">
      <c r="A12" s="5" t="s">
        <v>303</v>
      </c>
      <c r="B12" s="5"/>
      <c r="C12" s="5"/>
      <c r="D12" s="5"/>
      <c r="E12" s="5"/>
      <c r="F12" s="5"/>
      <c r="G12" s="5"/>
      <c r="H12" s="5"/>
      <c r="I12" s="5"/>
    </row>
    <row r="13" customFormat="false" ht="495.75" hidden="false" customHeight="true" outlineLevel="0" collapsed="false">
      <c r="A13" s="5" t="s">
        <v>304</v>
      </c>
      <c r="B13" s="5"/>
      <c r="C13" s="5"/>
      <c r="D13" s="5"/>
      <c r="E13" s="5"/>
      <c r="F13" s="5"/>
      <c r="G13" s="5"/>
      <c r="H13" s="5"/>
      <c r="I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52"/>
    <col collapsed="false" customWidth="true" hidden="false" outlineLevel="0" max="8" min="8" style="1" width="50"/>
  </cols>
  <sheetData>
    <row r="1" customFormat="false" ht="15" hidden="false" customHeight="true" outlineLevel="0" collapsed="false">
      <c r="A1" s="6" t="s">
        <v>305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26.25" hidden="false" customHeight="true" outlineLevel="0" collapsed="false">
      <c r="A3" s="4" t="s">
        <v>306</v>
      </c>
      <c r="B3" s="4" t="s">
        <v>19</v>
      </c>
      <c r="C3" s="4" t="s">
        <v>16</v>
      </c>
      <c r="D3" s="4" t="s">
        <v>17</v>
      </c>
      <c r="E3" s="4" t="s">
        <v>307</v>
      </c>
      <c r="F3" s="4" t="s">
        <v>308</v>
      </c>
      <c r="G3" s="4" t="s">
        <v>309</v>
      </c>
      <c r="H3" s="4" t="s">
        <v>310</v>
      </c>
    </row>
    <row r="4" customFormat="false" ht="15" hidden="false" customHeight="true" outlineLevel="0" collapsed="false">
      <c r="A4" s="5" t="s">
        <v>36</v>
      </c>
      <c r="B4" s="5" t="s">
        <v>40</v>
      </c>
      <c r="C4" s="5" t="s">
        <v>37</v>
      </c>
      <c r="D4" s="5" t="s">
        <v>38</v>
      </c>
      <c r="E4" s="5" t="s">
        <v>311</v>
      </c>
      <c r="F4" s="5" t="s">
        <v>46</v>
      </c>
      <c r="G4" s="5" t="s">
        <v>128</v>
      </c>
      <c r="H4" s="5" t="s">
        <v>312</v>
      </c>
    </row>
    <row r="5" customFormat="false" ht="15" hidden="false" customHeight="true" outlineLevel="0" collapsed="false">
      <c r="A5" s="5" t="s">
        <v>50</v>
      </c>
      <c r="B5" s="5" t="s">
        <v>40</v>
      </c>
      <c r="C5" s="5" t="s">
        <v>37</v>
      </c>
      <c r="D5" s="5" t="s">
        <v>51</v>
      </c>
      <c r="E5" s="5" t="s">
        <v>311</v>
      </c>
      <c r="F5" s="5" t="s">
        <v>46</v>
      </c>
      <c r="G5" s="5" t="s">
        <v>313</v>
      </c>
      <c r="H5" s="5" t="s">
        <v>314</v>
      </c>
    </row>
    <row r="6" customFormat="false" ht="15" hidden="false" customHeight="true" outlineLevel="0" collapsed="false">
      <c r="A6" s="5" t="s">
        <v>55</v>
      </c>
      <c r="B6" s="5" t="s">
        <v>40</v>
      </c>
      <c r="C6" s="5" t="s">
        <v>37</v>
      </c>
      <c r="D6" s="5" t="s">
        <v>56</v>
      </c>
      <c r="E6" s="5" t="s">
        <v>311</v>
      </c>
      <c r="F6" s="5" t="s">
        <v>46</v>
      </c>
      <c r="G6" s="5" t="s">
        <v>128</v>
      </c>
      <c r="H6" s="5" t="s">
        <v>315</v>
      </c>
    </row>
    <row r="7" customFormat="false" ht="15" hidden="false" customHeight="true" outlineLevel="0" collapsed="false">
      <c r="A7" s="5" t="s">
        <v>60</v>
      </c>
      <c r="B7" s="5" t="s">
        <v>40</v>
      </c>
      <c r="C7" s="5" t="s">
        <v>37</v>
      </c>
      <c r="D7" s="5" t="s">
        <v>38</v>
      </c>
      <c r="E7" s="5" t="s">
        <v>311</v>
      </c>
      <c r="F7" s="5" t="s">
        <v>46</v>
      </c>
      <c r="G7" s="5" t="s">
        <v>128</v>
      </c>
      <c r="H7" s="5" t="s">
        <v>316</v>
      </c>
    </row>
    <row r="8" customFormat="false" ht="15" hidden="false" customHeight="true" outlineLevel="0" collapsed="false">
      <c r="A8" s="5" t="s">
        <v>65</v>
      </c>
      <c r="B8" s="5" t="s">
        <v>40</v>
      </c>
      <c r="C8" s="5" t="s">
        <v>37</v>
      </c>
      <c r="D8" s="5" t="s">
        <v>51</v>
      </c>
      <c r="E8" s="5" t="s">
        <v>311</v>
      </c>
      <c r="F8" s="5" t="s">
        <v>46</v>
      </c>
      <c r="G8" s="5" t="s">
        <v>128</v>
      </c>
      <c r="H8" s="5"/>
    </row>
    <row r="9" customFormat="false" ht="15" hidden="false" customHeight="true" outlineLevel="0" collapsed="false">
      <c r="A9" s="5" t="s">
        <v>68</v>
      </c>
      <c r="B9" s="5" t="s">
        <v>40</v>
      </c>
      <c r="C9" s="5" t="s">
        <v>37</v>
      </c>
      <c r="D9" s="5" t="s">
        <v>56</v>
      </c>
      <c r="E9" s="5" t="s">
        <v>311</v>
      </c>
      <c r="F9" s="5" t="s">
        <v>46</v>
      </c>
      <c r="G9" s="5" t="s">
        <v>128</v>
      </c>
      <c r="H9" s="5"/>
    </row>
    <row r="10" customFormat="false" ht="15" hidden="false" customHeight="true" outlineLevel="0" collapsed="false">
      <c r="A10" s="5" t="s">
        <v>77</v>
      </c>
      <c r="B10" s="5" t="s">
        <v>40</v>
      </c>
      <c r="C10" s="5" t="s">
        <v>71</v>
      </c>
      <c r="D10" s="5" t="s">
        <v>51</v>
      </c>
      <c r="E10" s="5" t="s">
        <v>317</v>
      </c>
      <c r="F10" s="5" t="s">
        <v>119</v>
      </c>
      <c r="G10" s="5" t="s">
        <v>318</v>
      </c>
      <c r="H10" s="5" t="s">
        <v>319</v>
      </c>
    </row>
    <row r="11" customFormat="false" ht="15" hidden="false" customHeight="true" outlineLevel="0" collapsed="false">
      <c r="A11" s="5" t="s">
        <v>77</v>
      </c>
      <c r="B11" s="5" t="s">
        <v>40</v>
      </c>
      <c r="C11" s="5" t="s">
        <v>71</v>
      </c>
      <c r="D11" s="5" t="s">
        <v>51</v>
      </c>
      <c r="E11" s="5" t="s">
        <v>320</v>
      </c>
      <c r="F11" s="5" t="s">
        <v>119</v>
      </c>
      <c r="G11" s="5" t="s">
        <v>321</v>
      </c>
      <c r="H11" s="5" t="s">
        <v>322</v>
      </c>
    </row>
    <row r="12" customFormat="false" ht="15" hidden="false" customHeight="true" outlineLevel="0" collapsed="false">
      <c r="A12" s="5" t="s">
        <v>77</v>
      </c>
      <c r="B12" s="5" t="s">
        <v>40</v>
      </c>
      <c r="C12" s="5" t="s">
        <v>71</v>
      </c>
      <c r="D12" s="5" t="s">
        <v>51</v>
      </c>
      <c r="E12" s="5" t="s">
        <v>323</v>
      </c>
      <c r="F12" s="5" t="s">
        <v>119</v>
      </c>
      <c r="G12" s="5" t="s">
        <v>324</v>
      </c>
      <c r="H12" s="5" t="s">
        <v>325</v>
      </c>
    </row>
    <row r="13" customFormat="false" ht="15" hidden="false" customHeight="true" outlineLevel="0" collapsed="false">
      <c r="A13" s="5" t="s">
        <v>85</v>
      </c>
      <c r="B13" s="5" t="s">
        <v>40</v>
      </c>
      <c r="C13" s="5" t="s">
        <v>71</v>
      </c>
      <c r="D13" s="5" t="s">
        <v>38</v>
      </c>
      <c r="E13" s="5" t="s">
        <v>317</v>
      </c>
      <c r="F13" s="5" t="s">
        <v>119</v>
      </c>
      <c r="G13" s="5" t="s">
        <v>128</v>
      </c>
      <c r="H13" s="5" t="s">
        <v>326</v>
      </c>
    </row>
    <row r="14" customFormat="false" ht="26.25" hidden="false" customHeight="true" outlineLevel="0" collapsed="false">
      <c r="A14" s="5" t="s">
        <v>85</v>
      </c>
      <c r="B14" s="5" t="s">
        <v>40</v>
      </c>
      <c r="C14" s="5" t="s">
        <v>71</v>
      </c>
      <c r="D14" s="5" t="s">
        <v>38</v>
      </c>
      <c r="E14" s="5" t="s">
        <v>320</v>
      </c>
      <c r="F14" s="5" t="s">
        <v>98</v>
      </c>
      <c r="G14" s="5" t="s">
        <v>327</v>
      </c>
      <c r="H14" s="5" t="s">
        <v>328</v>
      </c>
    </row>
    <row r="15" customFormat="false" ht="15" hidden="false" customHeight="true" outlineLevel="0" collapsed="false">
      <c r="A15" s="5" t="s">
        <v>92</v>
      </c>
      <c r="B15" s="5" t="s">
        <v>40</v>
      </c>
      <c r="C15" s="5" t="s">
        <v>71</v>
      </c>
      <c r="D15" s="5" t="s">
        <v>51</v>
      </c>
      <c r="E15" s="5" t="s">
        <v>317</v>
      </c>
      <c r="F15" s="5" t="s">
        <v>119</v>
      </c>
      <c r="G15" s="5" t="s">
        <v>128</v>
      </c>
      <c r="H15" s="5" t="s">
        <v>329</v>
      </c>
    </row>
    <row r="16" customFormat="false" ht="15" hidden="false" customHeight="true" outlineLevel="0" collapsed="false">
      <c r="A16" s="5" t="s">
        <v>92</v>
      </c>
      <c r="B16" s="5" t="s">
        <v>40</v>
      </c>
      <c r="C16" s="5" t="s">
        <v>71</v>
      </c>
      <c r="D16" s="5" t="s">
        <v>51</v>
      </c>
      <c r="E16" s="5" t="s">
        <v>320</v>
      </c>
      <c r="F16" s="5" t="s">
        <v>119</v>
      </c>
      <c r="G16" s="5" t="s">
        <v>324</v>
      </c>
      <c r="H16" s="5" t="s">
        <v>330</v>
      </c>
    </row>
    <row r="17" customFormat="false" ht="15" hidden="false" customHeight="true" outlineLevel="0" collapsed="false">
      <c r="A17" s="5" t="s">
        <v>97</v>
      </c>
      <c r="B17" s="5" t="s">
        <v>40</v>
      </c>
      <c r="C17" s="5" t="s">
        <v>71</v>
      </c>
      <c r="D17" s="5" t="s">
        <v>56</v>
      </c>
      <c r="E17" s="5" t="s">
        <v>317</v>
      </c>
      <c r="F17" s="5" t="s">
        <v>98</v>
      </c>
      <c r="G17" s="5" t="s">
        <v>331</v>
      </c>
      <c r="H17" s="5" t="s">
        <v>332</v>
      </c>
    </row>
    <row r="18" customFormat="false" ht="15" hidden="false" customHeight="true" outlineLevel="0" collapsed="false">
      <c r="A18" s="5" t="s">
        <v>101</v>
      </c>
      <c r="B18" s="5" t="s">
        <v>40</v>
      </c>
      <c r="C18" s="5" t="s">
        <v>102</v>
      </c>
      <c r="D18" s="5" t="s">
        <v>38</v>
      </c>
      <c r="E18" s="5" t="s">
        <v>317</v>
      </c>
      <c r="F18" s="5" t="s">
        <v>119</v>
      </c>
      <c r="G18" s="5" t="s">
        <v>128</v>
      </c>
      <c r="H18" s="5" t="s">
        <v>333</v>
      </c>
    </row>
    <row r="19" customFormat="false" ht="15" hidden="false" customHeight="true" outlineLevel="0" collapsed="false">
      <c r="A19" s="5" t="s">
        <v>101</v>
      </c>
      <c r="B19" s="5" t="s">
        <v>40</v>
      </c>
      <c r="C19" s="5" t="s">
        <v>102</v>
      </c>
      <c r="D19" s="5" t="s">
        <v>38</v>
      </c>
      <c r="E19" s="5" t="s">
        <v>320</v>
      </c>
      <c r="F19" s="5" t="s">
        <v>119</v>
      </c>
      <c r="G19" s="5" t="s">
        <v>128</v>
      </c>
      <c r="H19" s="5" t="s">
        <v>334</v>
      </c>
    </row>
    <row r="20" customFormat="false" ht="26.25" hidden="false" customHeight="true" outlineLevel="0" collapsed="false">
      <c r="A20" s="5" t="s">
        <v>101</v>
      </c>
      <c r="B20" s="5" t="s">
        <v>40</v>
      </c>
      <c r="C20" s="5" t="s">
        <v>102</v>
      </c>
      <c r="D20" s="5" t="s">
        <v>38</v>
      </c>
      <c r="E20" s="5" t="s">
        <v>323</v>
      </c>
      <c r="F20" s="5" t="s">
        <v>98</v>
      </c>
      <c r="G20" s="5" t="s">
        <v>335</v>
      </c>
      <c r="H20" s="5" t="s">
        <v>336</v>
      </c>
    </row>
    <row r="21" customFormat="false" ht="15" hidden="false" customHeight="true" outlineLevel="0" collapsed="false">
      <c r="A21" s="5" t="s">
        <v>109</v>
      </c>
      <c r="B21" s="5" t="s">
        <v>40</v>
      </c>
      <c r="C21" s="5" t="s">
        <v>102</v>
      </c>
      <c r="D21" s="5" t="s">
        <v>51</v>
      </c>
      <c r="E21" s="5" t="s">
        <v>317</v>
      </c>
      <c r="F21" s="5" t="s">
        <v>119</v>
      </c>
      <c r="G21" s="5" t="s">
        <v>128</v>
      </c>
      <c r="H21" s="5" t="s">
        <v>337</v>
      </c>
    </row>
    <row r="22" customFormat="false" ht="15" hidden="false" customHeight="true" outlineLevel="0" collapsed="false">
      <c r="A22" s="5" t="s">
        <v>109</v>
      </c>
      <c r="B22" s="5" t="s">
        <v>40</v>
      </c>
      <c r="C22" s="5" t="s">
        <v>102</v>
      </c>
      <c r="D22" s="5" t="s">
        <v>51</v>
      </c>
      <c r="E22" s="5" t="s">
        <v>320</v>
      </c>
      <c r="F22" s="5" t="s">
        <v>119</v>
      </c>
      <c r="G22" s="5" t="s">
        <v>128</v>
      </c>
      <c r="H22" s="5" t="s">
        <v>338</v>
      </c>
    </row>
    <row r="23" customFormat="false" ht="15" hidden="false" customHeight="true" outlineLevel="0" collapsed="false">
      <c r="A23" s="5" t="s">
        <v>109</v>
      </c>
      <c r="B23" s="5" t="s">
        <v>40</v>
      </c>
      <c r="C23" s="5" t="s">
        <v>102</v>
      </c>
      <c r="D23" s="5" t="s">
        <v>51</v>
      </c>
      <c r="E23" s="5" t="s">
        <v>323</v>
      </c>
      <c r="F23" s="5" t="s">
        <v>98</v>
      </c>
      <c r="G23" s="5" t="s">
        <v>339</v>
      </c>
      <c r="H23" s="5" t="s">
        <v>340</v>
      </c>
    </row>
    <row r="24" customFormat="false" ht="15" hidden="false" customHeight="true" outlineLevel="0" collapsed="false">
      <c r="A24" s="5" t="s">
        <v>112</v>
      </c>
      <c r="B24" s="5" t="s">
        <v>40</v>
      </c>
      <c r="C24" s="5" t="s">
        <v>102</v>
      </c>
      <c r="D24" s="5" t="s">
        <v>56</v>
      </c>
      <c r="E24" s="5" t="s">
        <v>317</v>
      </c>
      <c r="F24" s="5" t="s">
        <v>119</v>
      </c>
      <c r="G24" s="5" t="s">
        <v>128</v>
      </c>
      <c r="H24" s="5" t="s">
        <v>341</v>
      </c>
    </row>
    <row r="25" customFormat="false" ht="15" hidden="false" customHeight="true" outlineLevel="0" collapsed="false">
      <c r="A25" s="5" t="s">
        <v>112</v>
      </c>
      <c r="B25" s="5" t="s">
        <v>40</v>
      </c>
      <c r="C25" s="5" t="s">
        <v>102</v>
      </c>
      <c r="D25" s="5" t="s">
        <v>56</v>
      </c>
      <c r="E25" s="5" t="s">
        <v>320</v>
      </c>
      <c r="F25" s="5" t="s">
        <v>119</v>
      </c>
      <c r="G25" s="5" t="s">
        <v>342</v>
      </c>
      <c r="H25" s="5" t="s">
        <v>343</v>
      </c>
    </row>
    <row r="26" customFormat="false" ht="26.25" hidden="false" customHeight="true" outlineLevel="0" collapsed="false">
      <c r="A26" s="5" t="s">
        <v>112</v>
      </c>
      <c r="B26" s="5" t="s">
        <v>40</v>
      </c>
      <c r="C26" s="5" t="s">
        <v>102</v>
      </c>
      <c r="D26" s="5" t="s">
        <v>56</v>
      </c>
      <c r="E26" s="5" t="s">
        <v>323</v>
      </c>
      <c r="F26" s="5" t="s">
        <v>98</v>
      </c>
      <c r="G26" s="5" t="s">
        <v>344</v>
      </c>
      <c r="H26" s="5" t="s">
        <v>345</v>
      </c>
    </row>
    <row r="27" customFormat="false" ht="15" hidden="false" customHeight="true" outlineLevel="0" collapsed="false">
      <c r="A27" s="5" t="s">
        <v>117</v>
      </c>
      <c r="B27" s="5" t="s">
        <v>40</v>
      </c>
      <c r="C27" s="5" t="s">
        <v>102</v>
      </c>
      <c r="D27" s="5" t="s">
        <v>38</v>
      </c>
      <c r="E27" s="5" t="s">
        <v>317</v>
      </c>
      <c r="F27" s="5" t="s">
        <v>119</v>
      </c>
      <c r="G27" s="5" t="s">
        <v>346</v>
      </c>
      <c r="H27" s="5" t="s">
        <v>347</v>
      </c>
    </row>
    <row r="28" customFormat="false" ht="15" hidden="false" customHeight="true" outlineLevel="0" collapsed="false">
      <c r="A28" s="5" t="s">
        <v>123</v>
      </c>
      <c r="B28" s="5" t="s">
        <v>40</v>
      </c>
      <c r="C28" s="5" t="s">
        <v>102</v>
      </c>
      <c r="D28" s="5" t="s">
        <v>51</v>
      </c>
      <c r="E28" s="5" t="s">
        <v>317</v>
      </c>
      <c r="F28" s="5" t="s">
        <v>119</v>
      </c>
      <c r="G28" s="5" t="s">
        <v>128</v>
      </c>
      <c r="H28" s="5" t="s">
        <v>348</v>
      </c>
    </row>
    <row r="29" customFormat="false" ht="15" hidden="false" customHeight="true" outlineLevel="0" collapsed="false">
      <c r="A29" s="5" t="s">
        <v>123</v>
      </c>
      <c r="B29" s="5" t="s">
        <v>40</v>
      </c>
      <c r="C29" s="5" t="s">
        <v>102</v>
      </c>
      <c r="D29" s="5" t="s">
        <v>51</v>
      </c>
      <c r="E29" s="5" t="s">
        <v>320</v>
      </c>
      <c r="F29" s="5" t="s">
        <v>119</v>
      </c>
      <c r="G29" s="5" t="s">
        <v>128</v>
      </c>
      <c r="H29" s="5" t="s">
        <v>348</v>
      </c>
    </row>
    <row r="30" customFormat="false" ht="15" hidden="false" customHeight="true" outlineLevel="0" collapsed="false">
      <c r="A30" s="5" t="s">
        <v>127</v>
      </c>
      <c r="B30" s="5" t="s">
        <v>40</v>
      </c>
      <c r="C30" s="5" t="s">
        <v>102</v>
      </c>
      <c r="D30" s="5" t="s">
        <v>56</v>
      </c>
      <c r="E30" s="5" t="s">
        <v>317</v>
      </c>
      <c r="F30" s="5" t="s">
        <v>119</v>
      </c>
      <c r="G30" s="5" t="s">
        <v>128</v>
      </c>
      <c r="H30" s="5" t="s">
        <v>349</v>
      </c>
    </row>
    <row r="31" customFormat="false" ht="15" hidden="false" customHeight="true" outlineLevel="0" collapsed="false">
      <c r="A31" s="5" t="s">
        <v>137</v>
      </c>
      <c r="B31" s="5" t="s">
        <v>132</v>
      </c>
      <c r="C31" s="5" t="s">
        <v>37</v>
      </c>
      <c r="D31" s="5" t="s">
        <v>38</v>
      </c>
      <c r="E31" s="5" t="s">
        <v>317</v>
      </c>
      <c r="F31" s="5" t="s">
        <v>119</v>
      </c>
      <c r="G31" s="5" t="s">
        <v>128</v>
      </c>
      <c r="H31" s="5" t="s">
        <v>350</v>
      </c>
    </row>
    <row r="32" customFormat="false" ht="26.25" hidden="false" customHeight="true" outlineLevel="0" collapsed="false">
      <c r="A32" s="5" t="s">
        <v>141</v>
      </c>
      <c r="B32" s="5" t="s">
        <v>132</v>
      </c>
      <c r="C32" s="5" t="s">
        <v>37</v>
      </c>
      <c r="D32" s="5" t="s">
        <v>56</v>
      </c>
      <c r="E32" s="5" t="s">
        <v>317</v>
      </c>
      <c r="F32" s="5" t="s">
        <v>119</v>
      </c>
      <c r="G32" s="5" t="s">
        <v>128</v>
      </c>
      <c r="H32" s="5" t="s">
        <v>351</v>
      </c>
    </row>
    <row r="33" customFormat="false" ht="26.25" hidden="false" customHeight="true" outlineLevel="0" collapsed="false">
      <c r="A33" s="5" t="s">
        <v>174</v>
      </c>
      <c r="B33" s="5" t="s">
        <v>132</v>
      </c>
      <c r="C33" s="5" t="s">
        <v>71</v>
      </c>
      <c r="D33" s="5" t="s">
        <v>38</v>
      </c>
      <c r="E33" s="5" t="s">
        <v>317</v>
      </c>
      <c r="F33" s="5" t="s">
        <v>119</v>
      </c>
      <c r="G33" s="5" t="s">
        <v>128</v>
      </c>
      <c r="H33" s="5" t="s">
        <v>352</v>
      </c>
    </row>
    <row r="34" customFormat="false" ht="26.25" hidden="false" customHeight="true" outlineLevel="0" collapsed="false">
      <c r="A34" s="5" t="s">
        <v>174</v>
      </c>
      <c r="B34" s="5" t="s">
        <v>132</v>
      </c>
      <c r="C34" s="5" t="s">
        <v>71</v>
      </c>
      <c r="D34" s="5" t="s">
        <v>38</v>
      </c>
      <c r="E34" s="5" t="s">
        <v>320</v>
      </c>
      <c r="F34" s="5" t="s">
        <v>119</v>
      </c>
      <c r="G34" s="5" t="s">
        <v>128</v>
      </c>
      <c r="H34" s="5" t="s">
        <v>341</v>
      </c>
    </row>
    <row r="35" customFormat="false" ht="26.25" hidden="false" customHeight="true" outlineLevel="0" collapsed="false">
      <c r="A35" s="5" t="s">
        <v>178</v>
      </c>
      <c r="B35" s="5" t="s">
        <v>132</v>
      </c>
      <c r="C35" s="5" t="s">
        <v>71</v>
      </c>
      <c r="D35" s="5" t="s">
        <v>51</v>
      </c>
      <c r="E35" s="5" t="s">
        <v>317</v>
      </c>
      <c r="F35" s="5" t="s">
        <v>119</v>
      </c>
      <c r="G35" s="5" t="s">
        <v>128</v>
      </c>
      <c r="H35" s="5" t="s">
        <v>352</v>
      </c>
    </row>
    <row r="36" customFormat="false" ht="26.25" hidden="false" customHeight="true" outlineLevel="0" collapsed="false">
      <c r="A36" s="5" t="s">
        <v>178</v>
      </c>
      <c r="B36" s="5" t="s">
        <v>132</v>
      </c>
      <c r="C36" s="5" t="s">
        <v>71</v>
      </c>
      <c r="D36" s="5" t="s">
        <v>51</v>
      </c>
      <c r="E36" s="5" t="s">
        <v>320</v>
      </c>
      <c r="F36" s="5" t="s">
        <v>119</v>
      </c>
      <c r="G36" s="5" t="s">
        <v>128</v>
      </c>
      <c r="H36" s="5" t="s">
        <v>353</v>
      </c>
    </row>
    <row r="37" customFormat="false" ht="26.25" hidden="false" customHeight="true" outlineLevel="0" collapsed="false">
      <c r="A37" s="5" t="s">
        <v>180</v>
      </c>
      <c r="B37" s="5" t="s">
        <v>132</v>
      </c>
      <c r="C37" s="5" t="s">
        <v>71</v>
      </c>
      <c r="D37" s="5" t="s">
        <v>56</v>
      </c>
      <c r="E37" s="5" t="s">
        <v>317</v>
      </c>
      <c r="F37" s="5" t="s">
        <v>119</v>
      </c>
      <c r="G37" s="5" t="s">
        <v>128</v>
      </c>
      <c r="H37" s="5" t="s">
        <v>354</v>
      </c>
    </row>
    <row r="38" customFormat="false" ht="26.25" hidden="false" customHeight="true" outlineLevel="0" collapsed="false">
      <c r="A38" s="5" t="s">
        <v>180</v>
      </c>
      <c r="B38" s="5" t="s">
        <v>132</v>
      </c>
      <c r="C38" s="5" t="s">
        <v>71</v>
      </c>
      <c r="D38" s="5" t="s">
        <v>56</v>
      </c>
      <c r="E38" s="5" t="s">
        <v>320</v>
      </c>
      <c r="F38" s="5" t="s">
        <v>119</v>
      </c>
      <c r="G38" s="5" t="s">
        <v>355</v>
      </c>
      <c r="H38" s="5" t="s">
        <v>356</v>
      </c>
    </row>
    <row r="39" customFormat="false" ht="26.25" hidden="false" customHeight="true" outlineLevel="0" collapsed="false">
      <c r="A39" s="5" t="s">
        <v>180</v>
      </c>
      <c r="B39" s="5" t="s">
        <v>132</v>
      </c>
      <c r="C39" s="5" t="s">
        <v>71</v>
      </c>
      <c r="D39" s="5" t="s">
        <v>56</v>
      </c>
      <c r="E39" s="5" t="s">
        <v>323</v>
      </c>
      <c r="F39" s="5" t="s">
        <v>119</v>
      </c>
      <c r="G39" s="5" t="s">
        <v>357</v>
      </c>
      <c r="H39" s="5" t="s">
        <v>358</v>
      </c>
    </row>
    <row r="40" customFormat="false" ht="26.25" hidden="false" customHeight="true" outlineLevel="0" collapsed="false">
      <c r="A40" s="5" t="s">
        <v>183</v>
      </c>
      <c r="B40" s="5" t="s">
        <v>132</v>
      </c>
      <c r="C40" s="5" t="s">
        <v>71</v>
      </c>
      <c r="D40" s="5" t="s">
        <v>38</v>
      </c>
      <c r="E40" s="5" t="s">
        <v>317</v>
      </c>
      <c r="F40" s="5" t="s">
        <v>188</v>
      </c>
      <c r="G40" s="5" t="s">
        <v>359</v>
      </c>
      <c r="H40" s="5" t="s">
        <v>360</v>
      </c>
    </row>
    <row r="41" customFormat="false" ht="15" hidden="false" customHeight="true" outlineLevel="0" collapsed="false">
      <c r="A41" s="5" t="s">
        <v>183</v>
      </c>
      <c r="B41" s="5" t="s">
        <v>132</v>
      </c>
      <c r="C41" s="5" t="s">
        <v>71</v>
      </c>
      <c r="D41" s="5" t="s">
        <v>38</v>
      </c>
      <c r="E41" s="5" t="s">
        <v>320</v>
      </c>
      <c r="F41" s="5" t="s">
        <v>119</v>
      </c>
      <c r="G41" s="5" t="s">
        <v>128</v>
      </c>
      <c r="H41" s="5" t="s">
        <v>361</v>
      </c>
    </row>
    <row r="42" customFormat="false" ht="15" hidden="false" customHeight="true" outlineLevel="0" collapsed="false">
      <c r="A42" s="5" t="s">
        <v>183</v>
      </c>
      <c r="B42" s="5" t="s">
        <v>132</v>
      </c>
      <c r="C42" s="5" t="s">
        <v>71</v>
      </c>
      <c r="D42" s="5" t="s">
        <v>38</v>
      </c>
      <c r="E42" s="5" t="s">
        <v>323</v>
      </c>
      <c r="F42" s="5" t="s">
        <v>119</v>
      </c>
      <c r="G42" s="5" t="s">
        <v>128</v>
      </c>
      <c r="H42" s="5" t="s">
        <v>362</v>
      </c>
    </row>
    <row r="43" customFormat="false" ht="26.25" hidden="false" customHeight="true" outlineLevel="0" collapsed="false">
      <c r="A43" s="5" t="s">
        <v>187</v>
      </c>
      <c r="B43" s="5" t="s">
        <v>132</v>
      </c>
      <c r="C43" s="5" t="s">
        <v>71</v>
      </c>
      <c r="D43" s="5" t="s">
        <v>51</v>
      </c>
      <c r="E43" s="5" t="s">
        <v>317</v>
      </c>
      <c r="F43" s="5" t="s">
        <v>188</v>
      </c>
      <c r="G43" s="5" t="s">
        <v>363</v>
      </c>
      <c r="H43" s="5" t="s">
        <v>364</v>
      </c>
    </row>
    <row r="44" customFormat="false" ht="26.25" hidden="false" customHeight="true" outlineLevel="0" collapsed="false">
      <c r="A44" s="5" t="s">
        <v>191</v>
      </c>
      <c r="B44" s="5" t="s">
        <v>132</v>
      </c>
      <c r="C44" s="5" t="s">
        <v>71</v>
      </c>
      <c r="D44" s="5" t="s">
        <v>56</v>
      </c>
      <c r="E44" s="5" t="s">
        <v>317</v>
      </c>
      <c r="F44" s="5" t="s">
        <v>119</v>
      </c>
      <c r="G44" s="5" t="s">
        <v>128</v>
      </c>
      <c r="H44" s="5" t="s">
        <v>365</v>
      </c>
    </row>
    <row r="45" customFormat="false" ht="26.25" hidden="false" customHeight="true" outlineLevel="0" collapsed="false">
      <c r="A45" s="5" t="s">
        <v>191</v>
      </c>
      <c r="B45" s="5" t="s">
        <v>132</v>
      </c>
      <c r="C45" s="5" t="s">
        <v>71</v>
      </c>
      <c r="D45" s="5" t="s">
        <v>56</v>
      </c>
      <c r="E45" s="5" t="s">
        <v>320</v>
      </c>
      <c r="F45" s="5" t="s">
        <v>366</v>
      </c>
      <c r="G45" s="5" t="s">
        <v>125</v>
      </c>
      <c r="H45" s="5" t="s">
        <v>367</v>
      </c>
    </row>
    <row r="46" customFormat="false" ht="26.25" hidden="false" customHeight="true" outlineLevel="0" collapsed="false">
      <c r="A46" s="5" t="s">
        <v>191</v>
      </c>
      <c r="B46" s="5" t="s">
        <v>132</v>
      </c>
      <c r="C46" s="5" t="s">
        <v>71</v>
      </c>
      <c r="D46" s="5" t="s">
        <v>56</v>
      </c>
      <c r="E46" s="5" t="s">
        <v>323</v>
      </c>
      <c r="F46" s="5" t="s">
        <v>98</v>
      </c>
      <c r="G46" s="5" t="s">
        <v>368</v>
      </c>
      <c r="H46" s="5" t="s">
        <v>369</v>
      </c>
    </row>
    <row r="47" customFormat="false" ht="26.25" hidden="false" customHeight="true" outlineLevel="0" collapsed="false">
      <c r="A47" s="5" t="s">
        <v>199</v>
      </c>
      <c r="B47" s="5" t="s">
        <v>132</v>
      </c>
      <c r="C47" s="5" t="s">
        <v>71</v>
      </c>
      <c r="D47" s="5" t="s">
        <v>56</v>
      </c>
      <c r="E47" s="5" t="s">
        <v>317</v>
      </c>
      <c r="F47" s="5" t="s">
        <v>119</v>
      </c>
      <c r="G47" s="5" t="s">
        <v>128</v>
      </c>
      <c r="H47" s="5" t="s">
        <v>370</v>
      </c>
    </row>
    <row r="48" customFormat="false" ht="26.25" hidden="false" customHeight="true" outlineLevel="0" collapsed="false">
      <c r="A48" s="5" t="s">
        <v>199</v>
      </c>
      <c r="B48" s="5" t="s">
        <v>132</v>
      </c>
      <c r="C48" s="5" t="s">
        <v>71</v>
      </c>
      <c r="D48" s="5" t="s">
        <v>56</v>
      </c>
      <c r="E48" s="5" t="s">
        <v>320</v>
      </c>
      <c r="F48" s="5" t="s">
        <v>119</v>
      </c>
      <c r="G48" s="5" t="s">
        <v>371</v>
      </c>
      <c r="H48" s="5" t="s">
        <v>372</v>
      </c>
    </row>
    <row r="49" customFormat="false" ht="26.25" hidden="false" customHeight="true" outlineLevel="0" collapsed="false">
      <c r="A49" s="5" t="s">
        <v>199</v>
      </c>
      <c r="B49" s="5" t="s">
        <v>132</v>
      </c>
      <c r="C49" s="5" t="s">
        <v>71</v>
      </c>
      <c r="D49" s="5" t="s">
        <v>56</v>
      </c>
      <c r="E49" s="5" t="s">
        <v>323</v>
      </c>
      <c r="F49" s="5" t="s">
        <v>119</v>
      </c>
      <c r="G49" s="5" t="s">
        <v>128</v>
      </c>
      <c r="H49" s="5" t="s">
        <v>373</v>
      </c>
    </row>
    <row r="50" customFormat="false" ht="15" hidden="false" customHeight="true" outlineLevel="0" collapsed="false">
      <c r="A50" s="5" t="s">
        <v>202</v>
      </c>
      <c r="B50" s="5" t="s">
        <v>132</v>
      </c>
      <c r="C50" s="5" t="s">
        <v>102</v>
      </c>
      <c r="D50" s="5" t="s">
        <v>38</v>
      </c>
      <c r="E50" s="5" t="s">
        <v>317</v>
      </c>
      <c r="F50" s="5" t="s">
        <v>119</v>
      </c>
      <c r="G50" s="5" t="s">
        <v>128</v>
      </c>
      <c r="H50" s="5" t="s">
        <v>365</v>
      </c>
    </row>
    <row r="51" customFormat="false" ht="15" hidden="false" customHeight="true" outlineLevel="0" collapsed="false">
      <c r="A51" s="5" t="s">
        <v>202</v>
      </c>
      <c r="B51" s="5" t="s">
        <v>132</v>
      </c>
      <c r="C51" s="5" t="s">
        <v>102</v>
      </c>
      <c r="D51" s="5" t="s">
        <v>38</v>
      </c>
      <c r="E51" s="5" t="s">
        <v>320</v>
      </c>
      <c r="F51" s="5" t="s">
        <v>119</v>
      </c>
      <c r="G51" s="5" t="s">
        <v>128</v>
      </c>
      <c r="H51" s="5" t="s">
        <v>374</v>
      </c>
    </row>
    <row r="52" customFormat="false" ht="15" hidden="false" customHeight="true" outlineLevel="0" collapsed="false">
      <c r="A52" s="5" t="s">
        <v>202</v>
      </c>
      <c r="B52" s="5" t="s">
        <v>132</v>
      </c>
      <c r="C52" s="5" t="s">
        <v>102</v>
      </c>
      <c r="D52" s="5" t="s">
        <v>38</v>
      </c>
      <c r="E52" s="5" t="s">
        <v>323</v>
      </c>
      <c r="F52" s="5" t="s">
        <v>119</v>
      </c>
      <c r="G52" s="5" t="s">
        <v>128</v>
      </c>
      <c r="H52" s="5" t="s">
        <v>375</v>
      </c>
    </row>
    <row r="53" customFormat="false" ht="15" hidden="false" customHeight="true" outlineLevel="0" collapsed="false">
      <c r="A53" s="5" t="s">
        <v>206</v>
      </c>
      <c r="B53" s="5" t="s">
        <v>132</v>
      </c>
      <c r="C53" s="5" t="s">
        <v>102</v>
      </c>
      <c r="D53" s="5" t="s">
        <v>51</v>
      </c>
      <c r="E53" s="5" t="s">
        <v>317</v>
      </c>
      <c r="F53" s="5" t="s">
        <v>119</v>
      </c>
      <c r="G53" s="5" t="s">
        <v>128</v>
      </c>
      <c r="H53" s="5" t="s">
        <v>376</v>
      </c>
    </row>
    <row r="54" customFormat="false" ht="26.25" hidden="false" customHeight="true" outlineLevel="0" collapsed="false">
      <c r="A54" s="5" t="s">
        <v>206</v>
      </c>
      <c r="B54" s="5" t="s">
        <v>132</v>
      </c>
      <c r="C54" s="5" t="s">
        <v>102</v>
      </c>
      <c r="D54" s="5" t="s">
        <v>51</v>
      </c>
      <c r="E54" s="5" t="s">
        <v>320</v>
      </c>
      <c r="F54" s="5" t="s">
        <v>98</v>
      </c>
      <c r="G54" s="5" t="s">
        <v>377</v>
      </c>
      <c r="H54" s="5" t="s">
        <v>360</v>
      </c>
    </row>
    <row r="55" customFormat="false" ht="15" hidden="false" customHeight="true" outlineLevel="0" collapsed="false">
      <c r="A55" s="5" t="s">
        <v>206</v>
      </c>
      <c r="B55" s="5" t="s">
        <v>132</v>
      </c>
      <c r="C55" s="5" t="s">
        <v>102</v>
      </c>
      <c r="D55" s="5" t="s">
        <v>51</v>
      </c>
      <c r="E55" s="5" t="s">
        <v>323</v>
      </c>
      <c r="F55" s="5" t="s">
        <v>98</v>
      </c>
      <c r="G55" s="5" t="s">
        <v>378</v>
      </c>
      <c r="H55" s="5" t="s">
        <v>379</v>
      </c>
    </row>
    <row r="56" customFormat="false" ht="15" hidden="false" customHeight="true" outlineLevel="0" collapsed="false">
      <c r="A56" s="5" t="s">
        <v>210</v>
      </c>
      <c r="B56" s="5" t="s">
        <v>132</v>
      </c>
      <c r="C56" s="5" t="s">
        <v>102</v>
      </c>
      <c r="D56" s="5" t="s">
        <v>56</v>
      </c>
      <c r="E56" s="5" t="s">
        <v>317</v>
      </c>
      <c r="F56" s="5" t="s">
        <v>119</v>
      </c>
      <c r="G56" s="5" t="s">
        <v>380</v>
      </c>
      <c r="H56" s="5" t="s">
        <v>381</v>
      </c>
    </row>
    <row r="57" customFormat="false" ht="15" hidden="false" customHeight="true" outlineLevel="0" collapsed="false">
      <c r="A57" s="5" t="s">
        <v>210</v>
      </c>
      <c r="B57" s="5" t="s">
        <v>132</v>
      </c>
      <c r="C57" s="5" t="s">
        <v>102</v>
      </c>
      <c r="D57" s="5" t="s">
        <v>56</v>
      </c>
      <c r="E57" s="5" t="s">
        <v>320</v>
      </c>
      <c r="F57" s="5" t="s">
        <v>119</v>
      </c>
      <c r="G57" s="5" t="s">
        <v>380</v>
      </c>
      <c r="H57" s="5" t="s">
        <v>382</v>
      </c>
    </row>
    <row r="58" customFormat="false" ht="15" hidden="false" customHeight="true" outlineLevel="0" collapsed="false">
      <c r="A58" s="5" t="s">
        <v>210</v>
      </c>
      <c r="B58" s="5" t="s">
        <v>132</v>
      </c>
      <c r="C58" s="5" t="s">
        <v>102</v>
      </c>
      <c r="D58" s="5" t="s">
        <v>56</v>
      </c>
      <c r="E58" s="5" t="s">
        <v>323</v>
      </c>
      <c r="F58" s="5" t="s">
        <v>119</v>
      </c>
      <c r="G58" s="5" t="s">
        <v>383</v>
      </c>
      <c r="H58" s="5" t="s">
        <v>384</v>
      </c>
    </row>
    <row r="59" customFormat="false" ht="15" hidden="false" customHeight="true" outlineLevel="0" collapsed="false">
      <c r="A59" s="5" t="s">
        <v>215</v>
      </c>
      <c r="B59" s="5" t="s">
        <v>132</v>
      </c>
      <c r="C59" s="5" t="s">
        <v>102</v>
      </c>
      <c r="D59" s="5" t="s">
        <v>38</v>
      </c>
      <c r="E59" s="5" t="s">
        <v>317</v>
      </c>
      <c r="F59" s="5" t="s">
        <v>119</v>
      </c>
      <c r="G59" s="5" t="s">
        <v>128</v>
      </c>
      <c r="H59" s="5" t="s">
        <v>385</v>
      </c>
    </row>
    <row r="60" customFormat="false" ht="15" hidden="false" customHeight="true" outlineLevel="0" collapsed="false">
      <c r="A60" s="5" t="s">
        <v>215</v>
      </c>
      <c r="B60" s="5" t="s">
        <v>132</v>
      </c>
      <c r="C60" s="5" t="s">
        <v>102</v>
      </c>
      <c r="D60" s="5" t="s">
        <v>38</v>
      </c>
      <c r="E60" s="5" t="s">
        <v>320</v>
      </c>
      <c r="F60" s="5" t="s">
        <v>119</v>
      </c>
      <c r="G60" s="5" t="s">
        <v>386</v>
      </c>
      <c r="H60" s="5" t="s">
        <v>387</v>
      </c>
    </row>
    <row r="61" customFormat="false" ht="15" hidden="false" customHeight="true" outlineLevel="0" collapsed="false">
      <c r="A61" s="5" t="s">
        <v>215</v>
      </c>
      <c r="B61" s="5" t="s">
        <v>132</v>
      </c>
      <c r="C61" s="5" t="s">
        <v>102</v>
      </c>
      <c r="D61" s="5" t="s">
        <v>38</v>
      </c>
      <c r="E61" s="5" t="s">
        <v>323</v>
      </c>
      <c r="F61" s="5" t="s">
        <v>119</v>
      </c>
      <c r="G61" s="5" t="s">
        <v>388</v>
      </c>
      <c r="H61" s="5" t="s">
        <v>389</v>
      </c>
    </row>
    <row r="62" customFormat="false" ht="15" hidden="false" customHeight="true" outlineLevel="0" collapsed="false">
      <c r="A62" s="5" t="s">
        <v>220</v>
      </c>
      <c r="B62" s="5" t="s">
        <v>132</v>
      </c>
      <c r="C62" s="5" t="s">
        <v>102</v>
      </c>
      <c r="D62" s="5" t="s">
        <v>51</v>
      </c>
      <c r="E62" s="5" t="s">
        <v>317</v>
      </c>
      <c r="F62" s="5" t="s">
        <v>119</v>
      </c>
      <c r="G62" s="5" t="s">
        <v>128</v>
      </c>
      <c r="H62" s="5" t="s">
        <v>390</v>
      </c>
    </row>
    <row r="63" customFormat="false" ht="15" hidden="false" customHeight="true" outlineLevel="0" collapsed="false">
      <c r="A63" s="5" t="s">
        <v>220</v>
      </c>
      <c r="B63" s="5" t="s">
        <v>132</v>
      </c>
      <c r="C63" s="5" t="s">
        <v>102</v>
      </c>
      <c r="D63" s="5" t="s">
        <v>51</v>
      </c>
      <c r="E63" s="5" t="s">
        <v>320</v>
      </c>
      <c r="F63" s="5" t="s">
        <v>119</v>
      </c>
      <c r="G63" s="5" t="s">
        <v>391</v>
      </c>
      <c r="H63" s="5" t="s">
        <v>392</v>
      </c>
    </row>
    <row r="64" customFormat="false" ht="15" hidden="false" customHeight="true" outlineLevel="0" collapsed="false">
      <c r="A64" s="5" t="s">
        <v>220</v>
      </c>
      <c r="B64" s="5" t="s">
        <v>132</v>
      </c>
      <c r="C64" s="5" t="s">
        <v>102</v>
      </c>
      <c r="D64" s="5" t="s">
        <v>51</v>
      </c>
      <c r="E64" s="5" t="s">
        <v>323</v>
      </c>
      <c r="F64" s="5" t="s">
        <v>119</v>
      </c>
      <c r="G64" s="5" t="s">
        <v>391</v>
      </c>
      <c r="H64" s="5" t="s">
        <v>393</v>
      </c>
    </row>
    <row r="65" customFormat="false" ht="26.25" hidden="false" customHeight="true" outlineLevel="0" collapsed="false">
      <c r="A65" s="5" t="s">
        <v>223</v>
      </c>
      <c r="B65" s="5" t="s">
        <v>132</v>
      </c>
      <c r="C65" s="5" t="s">
        <v>102</v>
      </c>
      <c r="D65" s="5" t="s">
        <v>56</v>
      </c>
      <c r="E65" s="5" t="s">
        <v>317</v>
      </c>
      <c r="F65" s="5" t="s">
        <v>98</v>
      </c>
      <c r="G65" s="5" t="s">
        <v>394</v>
      </c>
      <c r="H65" s="5" t="s">
        <v>360</v>
      </c>
    </row>
    <row r="66" customFormat="false" ht="15" hidden="false" customHeight="true" outlineLevel="0" collapsed="false">
      <c r="A66" s="5" t="s">
        <v>223</v>
      </c>
      <c r="B66" s="5" t="s">
        <v>132</v>
      </c>
      <c r="C66" s="5" t="s">
        <v>102</v>
      </c>
      <c r="D66" s="5" t="s">
        <v>56</v>
      </c>
      <c r="E66" s="5" t="s">
        <v>320</v>
      </c>
      <c r="F66" s="5" t="s">
        <v>119</v>
      </c>
      <c r="G66" s="5" t="s">
        <v>128</v>
      </c>
      <c r="H66" s="5" t="s">
        <v>395</v>
      </c>
    </row>
    <row r="67" customFormat="false" ht="15" hidden="false" customHeight="true" outlineLevel="0" collapsed="false">
      <c r="A67" s="5" t="s">
        <v>223</v>
      </c>
      <c r="B67" s="5" t="s">
        <v>132</v>
      </c>
      <c r="C67" s="5" t="s">
        <v>102</v>
      </c>
      <c r="D67" s="5" t="s">
        <v>56</v>
      </c>
      <c r="E67" s="5" t="s">
        <v>323</v>
      </c>
      <c r="F67" s="5" t="s">
        <v>119</v>
      </c>
      <c r="G67" s="5" t="s">
        <v>396</v>
      </c>
      <c r="H67" s="5" t="s">
        <v>397</v>
      </c>
    </row>
    <row r="68" customFormat="false" ht="26.25" hidden="false" customHeight="true" outlineLevel="0" collapsed="false">
      <c r="A68" s="5" t="s">
        <v>232</v>
      </c>
      <c r="B68" s="5" t="s">
        <v>132</v>
      </c>
      <c r="C68" s="5" t="s">
        <v>102</v>
      </c>
      <c r="D68" s="5" t="s">
        <v>56</v>
      </c>
      <c r="E68" s="5" t="s">
        <v>317</v>
      </c>
      <c r="F68" s="5" t="s">
        <v>119</v>
      </c>
      <c r="G68" s="5" t="s">
        <v>398</v>
      </c>
      <c r="H68" s="5" t="s">
        <v>399</v>
      </c>
    </row>
    <row r="69" customFormat="false" ht="26.25" hidden="false" customHeight="true" outlineLevel="0" collapsed="false">
      <c r="A69" s="5" t="s">
        <v>232</v>
      </c>
      <c r="B69" s="5" t="s">
        <v>132</v>
      </c>
      <c r="C69" s="5" t="s">
        <v>102</v>
      </c>
      <c r="D69" s="5" t="s">
        <v>56</v>
      </c>
      <c r="E69" s="5" t="s">
        <v>320</v>
      </c>
      <c r="F69" s="5" t="s">
        <v>119</v>
      </c>
      <c r="G69" s="5" t="s">
        <v>400</v>
      </c>
      <c r="H69" s="5" t="s">
        <v>401</v>
      </c>
    </row>
    <row r="70" customFormat="false" ht="15" hidden="false" customHeight="true" outlineLevel="0" collapsed="false">
      <c r="A70" s="5" t="s">
        <v>248</v>
      </c>
      <c r="B70" s="5" t="s">
        <v>236</v>
      </c>
      <c r="C70" s="5" t="s">
        <v>71</v>
      </c>
      <c r="D70" s="5" t="s">
        <v>51</v>
      </c>
      <c r="E70" s="5" t="s">
        <v>402</v>
      </c>
      <c r="F70" s="5" t="s">
        <v>403</v>
      </c>
      <c r="G70" s="5" t="s">
        <v>125</v>
      </c>
      <c r="H70" s="5" t="s">
        <v>404</v>
      </c>
    </row>
    <row r="71" customFormat="false" ht="15" hidden="false" customHeight="true" outlineLevel="0" collapsed="false">
      <c r="A71" s="5" t="s">
        <v>240</v>
      </c>
      <c r="B71" s="5" t="s">
        <v>236</v>
      </c>
      <c r="C71" s="5" t="s">
        <v>102</v>
      </c>
      <c r="D71" s="5" t="s">
        <v>51</v>
      </c>
      <c r="E71" s="5" t="s">
        <v>317</v>
      </c>
      <c r="F71" s="5" t="s">
        <v>119</v>
      </c>
      <c r="G71" s="5" t="s">
        <v>128</v>
      </c>
      <c r="H71" s="5"/>
    </row>
    <row r="72" customFormat="false" ht="15" hidden="false" customHeight="true" outlineLevel="0" collapsed="false">
      <c r="A72" s="5" t="s">
        <v>240</v>
      </c>
      <c r="B72" s="5" t="s">
        <v>236</v>
      </c>
      <c r="C72" s="5" t="s">
        <v>102</v>
      </c>
      <c r="D72" s="5" t="s">
        <v>51</v>
      </c>
      <c r="E72" s="5" t="s">
        <v>320</v>
      </c>
      <c r="F72" s="5" t="s">
        <v>405</v>
      </c>
      <c r="G72" s="5" t="s">
        <v>406</v>
      </c>
      <c r="H72" s="5" t="s">
        <v>407</v>
      </c>
    </row>
    <row r="73" customFormat="false" ht="15" hidden="false" customHeight="true" outlineLevel="0" collapsed="false">
      <c r="A73" s="5" t="s">
        <v>235</v>
      </c>
      <c r="B73" s="5" t="s">
        <v>236</v>
      </c>
      <c r="C73" s="5" t="s">
        <v>102</v>
      </c>
      <c r="D73" s="5" t="s">
        <v>56</v>
      </c>
      <c r="E73" s="5" t="s">
        <v>317</v>
      </c>
      <c r="F73" s="5" t="s">
        <v>119</v>
      </c>
      <c r="G73" s="5" t="s">
        <v>128</v>
      </c>
      <c r="H73" s="5" t="s">
        <v>408</v>
      </c>
    </row>
    <row r="74" customFormat="false" ht="15" hidden="false" customHeight="true" outlineLevel="0" collapsed="false">
      <c r="A74" s="5" t="s">
        <v>235</v>
      </c>
      <c r="B74" s="5" t="s">
        <v>236</v>
      </c>
      <c r="C74" s="5" t="s">
        <v>102</v>
      </c>
      <c r="D74" s="5" t="s">
        <v>56</v>
      </c>
      <c r="E74" s="5" t="s">
        <v>320</v>
      </c>
      <c r="F74" s="5" t="s">
        <v>366</v>
      </c>
      <c r="G74" s="5" t="s">
        <v>409</v>
      </c>
      <c r="H74" s="5" t="s">
        <v>410</v>
      </c>
    </row>
    <row r="75" customFormat="false" ht="15" hidden="false" customHeight="true" outlineLevel="0" collapsed="false">
      <c r="A75" s="5" t="s">
        <v>235</v>
      </c>
      <c r="B75" s="5" t="s">
        <v>236</v>
      </c>
      <c r="C75" s="5" t="s">
        <v>102</v>
      </c>
      <c r="D75" s="5" t="s">
        <v>56</v>
      </c>
      <c r="E75" s="5" t="s">
        <v>323</v>
      </c>
      <c r="F75" s="5" t="s">
        <v>98</v>
      </c>
      <c r="G75" s="5" t="s">
        <v>344</v>
      </c>
      <c r="H75" s="5" t="s">
        <v>411</v>
      </c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</row>
    <row r="77" customFormat="false" ht="15" hidden="false" customHeight="true" outlineLevel="0" collapsed="false">
      <c r="A77" s="15" t="s">
        <v>412</v>
      </c>
      <c r="B77" s="5"/>
      <c r="C77" s="5"/>
      <c r="D77" s="5"/>
      <c r="E77" s="5"/>
      <c r="F77" s="5"/>
      <c r="G77" s="5"/>
      <c r="H77" s="5"/>
    </row>
    <row r="78" customFormat="false" ht="15" hidden="false" customHeight="true" outlineLevel="0" collapsed="false">
      <c r="A78" s="5" t="s">
        <v>413</v>
      </c>
      <c r="B78" s="5" t="n">
        <f aca="false">COUNTIFS($F$4:$F$75,"*(A)*",$B$4:$B$75,"&lt;&gt;REEXEC")</f>
        <v>51</v>
      </c>
      <c r="C78" s="5"/>
      <c r="D78" s="5"/>
      <c r="E78" s="5"/>
      <c r="F78" s="5"/>
      <c r="G78" s="5"/>
      <c r="H78" s="5"/>
    </row>
    <row r="79" customFormat="false" ht="15" hidden="false" customHeight="true" outlineLevel="0" collapsed="false">
      <c r="A79" s="5" t="s">
        <v>414</v>
      </c>
      <c r="B79" s="5" t="n">
        <f aca="false">COUNTIFS($F$4:$F$75,"*(B)*",$B$4:$B$75,"&lt;&gt;REEXEC")</f>
        <v>12</v>
      </c>
      <c r="C79" s="5"/>
      <c r="D79" s="5"/>
      <c r="E79" s="5"/>
      <c r="F79" s="5"/>
      <c r="G79" s="5"/>
      <c r="H79" s="5"/>
    </row>
    <row r="80" customFormat="false" ht="15" hidden="false" customHeight="true" outlineLevel="0" collapsed="false">
      <c r="A80" s="5" t="s">
        <v>415</v>
      </c>
      <c r="B80" s="5" t="n">
        <f aca="false">COUNTIFS($F$4:$F$75,"*(C)*",$B$4:$B$75,"&lt;&gt;REEXEC")</f>
        <v>6</v>
      </c>
      <c r="C80" s="5"/>
      <c r="D80" s="5"/>
      <c r="E80" s="5"/>
      <c r="F80" s="5"/>
      <c r="G80" s="5"/>
      <c r="H80" s="5"/>
    </row>
    <row r="81" customFormat="false" ht="15" hidden="false" customHeight="true" outlineLevel="0" collapsed="false">
      <c r="A81" s="5" t="s">
        <v>416</v>
      </c>
      <c r="B81" s="5" t="n">
        <f aca="false">COUNTIFS($F$4:$F$75,"*(B)*",$G$4:$G$75,"NÃO*",$B$4:$B$75,"&lt;&gt;REEXEC")</f>
        <v>2</v>
      </c>
      <c r="C81" s="5"/>
      <c r="D81" s="5"/>
      <c r="E81" s="5"/>
      <c r="F81" s="5"/>
      <c r="G81" s="5"/>
      <c r="H81" s="5"/>
    </row>
    <row r="82" customFormat="false" ht="77.25" hidden="false" customHeight="true" outlineLevel="0" collapsed="false">
      <c r="A82" s="5" t="s">
        <v>417</v>
      </c>
      <c r="B82" s="5" t="s">
        <v>418</v>
      </c>
      <c r="C82" s="5"/>
      <c r="D82" s="5"/>
      <c r="E82" s="5"/>
      <c r="F82" s="5"/>
      <c r="G82" s="5"/>
      <c r="H8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5" hidden="false" customHeight="true" outlineLevel="0" collapsed="false">
      <c r="A1" s="6" t="s">
        <v>419</v>
      </c>
      <c r="B1" s="5"/>
      <c r="C1" s="5"/>
      <c r="D1" s="5"/>
    </row>
    <row r="2" customFormat="false" ht="15" hidden="false" customHeight="true" outlineLevel="0" collapsed="false">
      <c r="A2" s="5"/>
      <c r="B2" s="5"/>
      <c r="C2" s="5"/>
      <c r="D2" s="5"/>
    </row>
    <row r="3" customFormat="false" ht="15" hidden="false" customHeight="true" outlineLevel="0" collapsed="false">
      <c r="A3" s="4" t="s">
        <v>267</v>
      </c>
      <c r="B3" s="4" t="s">
        <v>306</v>
      </c>
      <c r="C3" s="4" t="s">
        <v>19</v>
      </c>
      <c r="D3" s="4" t="s">
        <v>420</v>
      </c>
    </row>
    <row r="4" customFormat="false" ht="15" hidden="false" customHeight="true" outlineLevel="0" collapsed="false">
      <c r="A4" s="5" t="s">
        <v>421</v>
      </c>
      <c r="B4" s="5" t="s">
        <v>422</v>
      </c>
      <c r="C4" s="5" t="s">
        <v>20</v>
      </c>
      <c r="D4" s="5" t="s">
        <v>423</v>
      </c>
    </row>
    <row r="5" customFormat="false" ht="15" hidden="false" customHeight="true" outlineLevel="0" collapsed="false">
      <c r="A5" s="5" t="s">
        <v>421</v>
      </c>
      <c r="B5" s="5" t="s">
        <v>424</v>
      </c>
      <c r="C5" s="5" t="s">
        <v>20</v>
      </c>
      <c r="D5" s="5" t="s">
        <v>425</v>
      </c>
    </row>
    <row r="6" customFormat="false" ht="15" hidden="false" customHeight="true" outlineLevel="0" collapsed="false">
      <c r="A6" s="5" t="s">
        <v>426</v>
      </c>
      <c r="B6" s="5" t="s">
        <v>427</v>
      </c>
      <c r="C6" s="5" t="s">
        <v>20</v>
      </c>
      <c r="D6" s="5" t="s">
        <v>428</v>
      </c>
    </row>
    <row r="7" customFormat="false" ht="15" hidden="false" customHeight="true" outlineLevel="0" collapsed="false">
      <c r="A7" s="5" t="s">
        <v>421</v>
      </c>
      <c r="B7" s="5" t="s">
        <v>429</v>
      </c>
      <c r="C7" s="5" t="s">
        <v>132</v>
      </c>
      <c r="D7" s="5" t="s">
        <v>317</v>
      </c>
    </row>
    <row r="8" customFormat="false" ht="15" hidden="false" customHeight="true" outlineLevel="0" collapsed="false">
      <c r="A8" s="5" t="s">
        <v>421</v>
      </c>
      <c r="B8" s="5" t="s">
        <v>430</v>
      </c>
      <c r="C8" s="5" t="s">
        <v>132</v>
      </c>
      <c r="D8" s="5" t="s">
        <v>317</v>
      </c>
    </row>
    <row r="9" customFormat="false" ht="15" hidden="false" customHeight="true" outlineLevel="0" collapsed="false">
      <c r="A9" s="5" t="s">
        <v>421</v>
      </c>
      <c r="B9" s="5" t="s">
        <v>431</v>
      </c>
      <c r="C9" s="5" t="s">
        <v>132</v>
      </c>
      <c r="D9" s="5" t="s">
        <v>317</v>
      </c>
    </row>
    <row r="10" customFormat="false" ht="15" hidden="false" customHeight="true" outlineLevel="0" collapsed="false">
      <c r="A10" s="5" t="s">
        <v>432</v>
      </c>
      <c r="B10" s="5" t="s">
        <v>433</v>
      </c>
      <c r="C10" s="5" t="s">
        <v>132</v>
      </c>
      <c r="D10" s="5" t="s">
        <v>434</v>
      </c>
    </row>
    <row r="11" customFormat="false" ht="15" hidden="false" customHeight="true" outlineLevel="0" collapsed="false">
      <c r="A11" s="5" t="s">
        <v>421</v>
      </c>
      <c r="B11" s="5" t="s">
        <v>435</v>
      </c>
      <c r="C11" s="5" t="s">
        <v>132</v>
      </c>
      <c r="D11" s="5" t="s">
        <v>317</v>
      </c>
    </row>
    <row r="12" customFormat="false" ht="15" hidden="false" customHeight="true" outlineLevel="0" collapsed="false">
      <c r="A12" s="5" t="s">
        <v>421</v>
      </c>
      <c r="B12" s="5" t="s">
        <v>436</v>
      </c>
      <c r="C12" s="5" t="s">
        <v>132</v>
      </c>
      <c r="D12" s="5" t="s">
        <v>437</v>
      </c>
    </row>
    <row r="13" customFormat="false" ht="15" hidden="false" customHeight="true" outlineLevel="0" collapsed="false">
      <c r="A13" s="5" t="s">
        <v>421</v>
      </c>
      <c r="B13" s="5" t="s">
        <v>438</v>
      </c>
      <c r="C13" s="5" t="s">
        <v>132</v>
      </c>
      <c r="D13" s="5" t="s">
        <v>317</v>
      </c>
    </row>
    <row r="14" customFormat="false" ht="15" hidden="false" customHeight="true" outlineLevel="0" collapsed="false">
      <c r="A14" s="5" t="s">
        <v>421</v>
      </c>
      <c r="B14" s="5" t="s">
        <v>439</v>
      </c>
      <c r="C14" s="5" t="s">
        <v>162</v>
      </c>
      <c r="D14" s="5" t="s">
        <v>440</v>
      </c>
    </row>
    <row r="15" customFormat="false" ht="15" hidden="false" customHeight="true" outlineLevel="0" collapsed="false">
      <c r="A15" s="5" t="s">
        <v>421</v>
      </c>
      <c r="B15" s="5" t="s">
        <v>441</v>
      </c>
      <c r="C15" s="5" t="s">
        <v>132</v>
      </c>
      <c r="D15" s="5" t="s">
        <v>440</v>
      </c>
    </row>
    <row r="16" customFormat="false" ht="15" hidden="false" customHeight="true" outlineLevel="0" collapsed="false">
      <c r="A16" s="5" t="s">
        <v>421</v>
      </c>
      <c r="B16" s="5" t="s">
        <v>442</v>
      </c>
      <c r="C16" s="5" t="s">
        <v>132</v>
      </c>
      <c r="D16" s="5" t="s">
        <v>440</v>
      </c>
    </row>
    <row r="17" customFormat="false" ht="15" hidden="false" customHeight="true" outlineLevel="0" collapsed="false">
      <c r="A17" s="5" t="s">
        <v>421</v>
      </c>
      <c r="B17" s="5" t="s">
        <v>443</v>
      </c>
      <c r="C17" s="5" t="s">
        <v>132</v>
      </c>
      <c r="D17" s="5" t="s">
        <v>317</v>
      </c>
    </row>
    <row r="18" customFormat="false" ht="15" hidden="false" customHeight="true" outlineLevel="0" collapsed="false">
      <c r="A18" s="5" t="s">
        <v>421</v>
      </c>
      <c r="B18" s="5" t="s">
        <v>444</v>
      </c>
      <c r="C18" s="5" t="s">
        <v>132</v>
      </c>
      <c r="D18" s="5" t="s">
        <v>445</v>
      </c>
    </row>
    <row r="19" customFormat="false" ht="15" hidden="false" customHeight="true" outlineLevel="0" collapsed="false">
      <c r="A19" s="5" t="s">
        <v>421</v>
      </c>
      <c r="B19" s="5" t="s">
        <v>446</v>
      </c>
      <c r="C19" s="5" t="s">
        <v>132</v>
      </c>
      <c r="D19" s="5" t="s">
        <v>445</v>
      </c>
    </row>
    <row r="20" customFormat="false" ht="15" hidden="false" customHeight="true" outlineLevel="0" collapsed="false">
      <c r="A20" s="5" t="s">
        <v>432</v>
      </c>
      <c r="B20" s="5" t="s">
        <v>447</v>
      </c>
      <c r="C20" s="5" t="s">
        <v>132</v>
      </c>
      <c r="D20" s="5" t="s">
        <v>448</v>
      </c>
    </row>
    <row r="21" customFormat="false" ht="15" hidden="false" customHeight="true" outlineLevel="0" collapsed="false">
      <c r="A21" s="5" t="s">
        <v>421</v>
      </c>
      <c r="B21" s="5" t="s">
        <v>449</v>
      </c>
      <c r="C21" s="5" t="s">
        <v>132</v>
      </c>
      <c r="D21" s="5" t="s">
        <v>445</v>
      </c>
    </row>
    <row r="22" customFormat="false" ht="15" hidden="false" customHeight="true" outlineLevel="0" collapsed="false">
      <c r="A22" s="5" t="s">
        <v>421</v>
      </c>
      <c r="B22" s="5" t="s">
        <v>450</v>
      </c>
      <c r="C22" s="5" t="s">
        <v>132</v>
      </c>
      <c r="D22" s="5" t="s">
        <v>451</v>
      </c>
    </row>
    <row r="23" customFormat="false" ht="15" hidden="false" customHeight="true" outlineLevel="0" collapsed="false">
      <c r="A23" s="5" t="s">
        <v>421</v>
      </c>
      <c r="B23" s="5" t="s">
        <v>452</v>
      </c>
      <c r="C23" s="5" t="s">
        <v>132</v>
      </c>
      <c r="D23" s="5" t="s">
        <v>317</v>
      </c>
    </row>
    <row r="24" customFormat="false" ht="15" hidden="false" customHeight="true" outlineLevel="0" collapsed="false">
      <c r="A24" s="5" t="s">
        <v>421</v>
      </c>
      <c r="B24" s="5" t="s">
        <v>453</v>
      </c>
      <c r="C24" s="5" t="s">
        <v>236</v>
      </c>
      <c r="D24" s="5" t="s">
        <v>317</v>
      </c>
    </row>
    <row r="25" customFormat="false" ht="15" hidden="false" customHeight="true" outlineLevel="0" collapsed="false">
      <c r="A25" s="5" t="s">
        <v>454</v>
      </c>
      <c r="B25" s="5" t="s">
        <v>455</v>
      </c>
      <c r="C25" s="5" t="s">
        <v>236</v>
      </c>
      <c r="D25" s="5" t="s">
        <v>456</v>
      </c>
    </row>
    <row r="26" customFormat="false" ht="15" hidden="false" customHeight="true" outlineLevel="0" collapsed="false">
      <c r="A26" s="5" t="s">
        <v>421</v>
      </c>
      <c r="B26" s="5" t="s">
        <v>457</v>
      </c>
      <c r="C26" s="5" t="s">
        <v>236</v>
      </c>
      <c r="D26" s="5" t="s">
        <v>317</v>
      </c>
    </row>
    <row r="27" customFormat="false" ht="15" hidden="false" customHeight="true" outlineLevel="0" collapsed="false">
      <c r="A27" s="5" t="s">
        <v>421</v>
      </c>
      <c r="B27" s="5" t="s">
        <v>458</v>
      </c>
      <c r="C27" s="5" t="s">
        <v>236</v>
      </c>
      <c r="D27" s="5" t="s">
        <v>317</v>
      </c>
    </row>
    <row r="28" customFormat="false" ht="26.25" hidden="false" customHeight="true" outlineLevel="0" collapsed="false">
      <c r="A28" s="5" t="s">
        <v>459</v>
      </c>
      <c r="B28" s="5" t="s">
        <v>460</v>
      </c>
      <c r="C28" s="5" t="s">
        <v>132</v>
      </c>
      <c r="D28" s="5" t="s">
        <v>461</v>
      </c>
    </row>
    <row r="29" customFormat="false" ht="26.25" hidden="false" customHeight="true" outlineLevel="0" collapsed="false">
      <c r="A29" s="5" t="s">
        <v>459</v>
      </c>
      <c r="B29" s="5" t="s">
        <v>462</v>
      </c>
      <c r="C29" s="5" t="s">
        <v>132</v>
      </c>
      <c r="D29" s="5" t="s">
        <v>463</v>
      </c>
    </row>
    <row r="30" customFormat="false" ht="26.25" hidden="false" customHeight="true" outlineLevel="0" collapsed="false">
      <c r="A30" s="5" t="s">
        <v>459</v>
      </c>
      <c r="B30" s="5" t="s">
        <v>464</v>
      </c>
      <c r="C30" s="5" t="s">
        <v>132</v>
      </c>
      <c r="D30" s="5" t="s">
        <v>465</v>
      </c>
    </row>
    <row r="31" customFormat="false" ht="39" hidden="false" customHeight="true" outlineLevel="0" collapsed="false">
      <c r="A31" s="5" t="s">
        <v>135</v>
      </c>
      <c r="B31" s="5" t="s">
        <v>466</v>
      </c>
      <c r="C31" s="5" t="s">
        <v>467</v>
      </c>
      <c r="D31" s="5" t="s">
        <v>468</v>
      </c>
    </row>
    <row r="32" customFormat="false" ht="15" hidden="false" customHeight="true" outlineLevel="0" collapsed="false">
      <c r="A32" s="5" t="s">
        <v>469</v>
      </c>
      <c r="B32" s="5" t="s">
        <v>470</v>
      </c>
      <c r="C32" s="5" t="s">
        <v>20</v>
      </c>
      <c r="D32" s="5" t="s">
        <v>471</v>
      </c>
    </row>
    <row r="33" customFormat="false" ht="26.25" hidden="false" customHeight="true" outlineLevel="0" collapsed="false">
      <c r="A33" s="5" t="s">
        <v>472</v>
      </c>
      <c r="B33" s="5" t="s">
        <v>473</v>
      </c>
      <c r="C33" s="5" t="s">
        <v>132</v>
      </c>
      <c r="D33" s="5" t="s">
        <v>474</v>
      </c>
    </row>
    <row r="34" customFormat="false" ht="15" hidden="false" customHeight="true" outlineLevel="0" collapsed="false">
      <c r="A34" s="5" t="s">
        <v>475</v>
      </c>
      <c r="B34" s="5" t="s">
        <v>450</v>
      </c>
      <c r="C34" s="5" t="s">
        <v>132</v>
      </c>
      <c r="D34" s="5" t="s">
        <v>476</v>
      </c>
    </row>
    <row r="35" customFormat="false" ht="26.25" hidden="false" customHeight="true" outlineLevel="0" collapsed="false">
      <c r="A35" s="5" t="s">
        <v>477</v>
      </c>
      <c r="B35" s="5" t="s">
        <v>478</v>
      </c>
      <c r="C35" s="5" t="s">
        <v>132</v>
      </c>
      <c r="D35" s="5" t="s">
        <v>479</v>
      </c>
    </row>
    <row r="36" customFormat="false" ht="15" hidden="false" customHeight="true" outlineLevel="0" collapsed="false">
      <c r="A36" s="5"/>
      <c r="B36" s="5"/>
      <c r="C36" s="5"/>
      <c r="D36" s="5"/>
    </row>
    <row r="37" customFormat="false" ht="141" hidden="false" customHeight="true" outlineLevel="0" collapsed="false">
      <c r="A37" s="5" t="s">
        <v>480</v>
      </c>
      <c r="B37" s="5"/>
      <c r="C37" s="5"/>
      <c r="D3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2026-09-24T03:41:29Z</dcterms:created>
  <dc:creator>openpyxl</dc:creator>
  <dc:description/>
  <dc:language>en-US</dc:language>
  <cp:lastModifiedBy/>
  <dcterms:modified xsi:type="dcterms:W3CDTF">2026-10-07T19:16:02Z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