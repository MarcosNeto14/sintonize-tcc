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Rodadas" sheetId="2" state="visible" r:id="rId4"/>
    <sheet name="Pirâmide" sheetId="3" state="visible" r:id="rId5"/>
    <sheet name="Detecção por bug" sheetId="4" state="visible" r:id="rId6"/>
    <sheet name="Cobertura" sheetId="5" state="visible" r:id="rId7"/>
  </sheets>
  <definedNames>
    <definedName function="false" hidden="true" localSheetId="4" name="_xlnm._FilterDatabase" vbProcedure="false">Cobertura!$A$1:$K$94</definedName>
    <definedName function="false" hidden="true" localSheetId="1" name="_xlnm._FilterDatabase" vbProcedure="false">Rodadas!$A$1:$P$165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<sst xmlns="http://schemas.openxmlformats.org/spreadsheetml/2006/main" count="2072" uniqueCount="223">
  <si>
    <t xml:space="preserve">Pirâmide de testes unificada — Fases 2 e 3, ChatGPT × Gemini (gerado em 2026-10-07)</t>
  </si>
  <si>
    <t xml:space="preserve">Fonte: fase2/ (ChatGPT, 60 rodadas: 49 originais + 15 reexecutadas em 2026-09-24 com reparo fixo), fase2-gemini-consolidado/ (Gemini, 60), fase3-e2e/ (36 rodadas E2E). Pass/fail = última saída de flutter test de cada rodada, verificada externamente (0 divergências nas três fases).</t>
  </si>
  <si>
    <t xml:space="preserve">Regras: REEXEC e formatName ficam fora da pirâmide (abas próprias/filtros). Limpos: 21 unitário + 9 widget + 9 integração + 9 E2E por modelo. Bugs: 6 + 6 + 6 + 9 por modelo (E2E: 7 com dado no ChatGPT).</t>
  </si>
  <si>
    <t xml:space="preserve">Taxa = passando ÷ (passando + falhando) somados nas rodadas cujo arquivo final executa; arquivo que não compila conta 0 passando e N falhando (N = testes declarados) e fica fora da taxa. Verde = executa com 0 falhas. Compilou 1ª = a geração inicial compilou.</t>
  </si>
  <si>
    <t xml:space="preserve">Detecção (codificação uniforme da Fase 2): Capturou (teste falha com o bug e é mantido) &gt; Caracterizou c/ alerta (asserção fixa o comportamento com bug, mas a resposta o chama de defeito) &gt; Viu sem asserção (resposta nomeia o defeito, sem asserção) &gt; Canonizou (asserção fixa o comportamento com bug, sem alerta) &gt; Não viu. Fase 3: 'Chegou sem afirmar' (Gemini C3-COT) mapeado para Não viu, conforme nota de equivalência do consolidado da Fase 3. 'Sem dado (serviço)' = ChatGPT P2-ZS e C3-COT, fora da contagem.</t>
  </si>
  <si>
    <t xml:space="preserve">(B) emitidos = iterações de reparo autoclassificadas (B) pelo modelo (contagem sobre o campo de classes de cada rodada). Corretos/falsos por auditoria humana: Fase 3 no consolidado_fase3.md §3; Fase 2 (bugs plantados) em comparacao_chatgpt_x_gemini.md §1.</t>
  </si>
  <si>
    <t xml:space="preserve">Condições de sessão: ChatGPT deslogado (GPT-5.5/5.6 nas 49 originais; GPT-5.6 Luna nas 15 reexecutadas e na Fase 3); Gemini logado Pro, 3.8 Flash. Não é carro-chefe × carro-chefe; declarar.</t>
  </si>
  <si>
    <t xml:space="preserve">Fase</t>
  </si>
  <si>
    <t xml:space="preserve">Nível</t>
  </si>
  <si>
    <t xml:space="preserve">Modelo</t>
  </si>
  <si>
    <t xml:space="preserve">Estratégia</t>
  </si>
  <si>
    <t xml:space="preserve">Grupo</t>
  </si>
  <si>
    <t xml:space="preserve">ID</t>
  </si>
  <si>
    <t xml:space="preserve">Bug</t>
  </si>
  <si>
    <t xml:space="preserve">Compilou 1ª (1/0)</t>
  </si>
  <si>
    <t xml:space="preserve">Gerados</t>
  </si>
  <si>
    <t xml:space="preserve">Passando (final)</t>
  </si>
  <si>
    <t xml:space="preserve">Falhando (final)</t>
  </si>
  <si>
    <t xml:space="preserve">Estado final</t>
  </si>
  <si>
    <t xml:space="preserve">Iterações</t>
  </si>
  <si>
    <t xml:space="preserve">Detecção (uniforme)</t>
  </si>
  <si>
    <t xml:space="preserve">(B) emitidos</t>
  </si>
  <si>
    <t xml:space="preserve">Verde (1/0)</t>
  </si>
  <si>
    <t xml:space="preserve">Fase 2</t>
  </si>
  <si>
    <t xml:space="preserve">Unitário</t>
  </si>
  <si>
    <t xml:space="preserve">chatgpt</t>
  </si>
  <si>
    <t xml:space="preserve">COT</t>
  </si>
  <si>
    <t xml:space="preserve">Limpo</t>
  </si>
  <si>
    <t xml:space="preserve">FASE2-UNIT-COT-01_validateNome</t>
  </si>
  <si>
    <t xml:space="preserve">executa</t>
  </si>
  <si>
    <t xml:space="preserve">FASE2-UNIT-COT-03_validateNumero</t>
  </si>
  <si>
    <t xml:space="preserve">FASE2-UNIT-COT-04_validateCEP</t>
  </si>
  <si>
    <t xml:space="preserve">FASE2-UNIT-COT-05_validateEmail</t>
  </si>
  <si>
    <t xml:space="preserve">FASE2-UNIT-COT-06_validateEmailLogin</t>
  </si>
  <si>
    <t xml:space="preserve">FASE2-UNIT-COT-07_validateEmailEdit</t>
  </si>
  <si>
    <t xml:space="preserve">FASE2-UNIT-COT-10_validateDate</t>
  </si>
  <si>
    <t xml:space="preserve">FS</t>
  </si>
  <si>
    <t xml:space="preserve">FASE2-UNIT-FS-01_validateNome</t>
  </si>
  <si>
    <t xml:space="preserve">FASE2-UNIT-FS-03_validateNumero</t>
  </si>
  <si>
    <t xml:space="preserve">FASE2-UNIT-FS-04_validateCEP</t>
  </si>
  <si>
    <t xml:space="preserve">FASE2-UNIT-FS-05_validateEmail</t>
  </si>
  <si>
    <t xml:space="preserve">FASE2-UNIT-FS-06_validateEmailLogin</t>
  </si>
  <si>
    <t xml:space="preserve">FASE2-UNIT-FS-07_validateEmailEdit</t>
  </si>
  <si>
    <t xml:space="preserve">FASE2-UNIT-FS-10_validateDate</t>
  </si>
  <si>
    <t xml:space="preserve">ZS</t>
  </si>
  <si>
    <t xml:space="preserve">FASE2-UNIT-ZS-01_validateNome</t>
  </si>
  <si>
    <t xml:space="preserve">FASE2-UNIT-ZS-03_validateNumero</t>
  </si>
  <si>
    <t xml:space="preserve">FASE2-UNIT-ZS-04_validateCEP</t>
  </si>
  <si>
    <t xml:space="preserve">FASE2-UNIT-ZS-05_validateEmail</t>
  </si>
  <si>
    <t xml:space="preserve">FASE2-UNIT-ZS-06_validateEmailLogin</t>
  </si>
  <si>
    <t xml:space="preserve">FASE2-UNIT-ZS-07_validateEmailEdit</t>
  </si>
  <si>
    <t xml:space="preserve">FASE2-UNIT-ZS-10_validateDate</t>
  </si>
  <si>
    <t xml:space="preserve">FASE2-UCRASH-COT</t>
  </si>
  <si>
    <t xml:space="preserve">U-CRASH</t>
  </si>
  <si>
    <t xml:space="preserve">Caracterizou c/ alerta</t>
  </si>
  <si>
    <t xml:space="preserve">FASE2-USILENT-COT</t>
  </si>
  <si>
    <t xml:space="preserve">U-SILENT</t>
  </si>
  <si>
    <t xml:space="preserve">FASE2-UCRASH-FS</t>
  </si>
  <si>
    <t xml:space="preserve">Capturou</t>
  </si>
  <si>
    <t xml:space="preserve">FASE2-USILENT-FS</t>
  </si>
  <si>
    <t xml:space="preserve">FASE2-UCRASH-ZS</t>
  </si>
  <si>
    <t xml:space="preserve">FASE2-USILENT-ZS</t>
  </si>
  <si>
    <t xml:space="preserve">formatName</t>
  </si>
  <si>
    <t xml:space="preserve">FASE2-UNIT-COT-08_formatName</t>
  </si>
  <si>
    <t xml:space="preserve">FASE2-UNIT-FS-08_formatName</t>
  </si>
  <si>
    <t xml:space="preserve">FASE2-UNIT-ZS-08_formatName</t>
  </si>
  <si>
    <t xml:space="preserve">gemini</t>
  </si>
  <si>
    <t xml:space="preserve">Viu sem asserção</t>
  </si>
  <si>
    <t xml:space="preserve">Widget</t>
  </si>
  <si>
    <t xml:space="preserve">FASE2-WIDGET-COT-01_CadastroScreen</t>
  </si>
  <si>
    <t xml:space="preserve">não compila</t>
  </si>
  <si>
    <t xml:space="preserve">FASE2-WIDGET-COT-02_LoginScreen</t>
  </si>
  <si>
    <t xml:space="preserve">FASE2-WIDGET-COT-03_CriarPlaylistScreen</t>
  </si>
  <si>
    <t xml:space="preserve">FASE2-WIDGET-FS-01_CadastroScreen</t>
  </si>
  <si>
    <t xml:space="preserve">FASE2-WIDGET-FS-02_LoginScreen</t>
  </si>
  <si>
    <t xml:space="preserve">FASE2-WIDGET-FS-03_CriarPlaylistScreen</t>
  </si>
  <si>
    <t xml:space="preserve">FASE2-WIDGET-ZS-01_CadastroScreen</t>
  </si>
  <si>
    <t xml:space="preserve">FASE2-WIDGET-ZS-02_LoginScreen</t>
  </si>
  <si>
    <t xml:space="preserve">FASE2-WIDGET-ZS-03_CriarPlaylistScreen</t>
  </si>
  <si>
    <t xml:space="preserve">FASE2-WCRASH-COT</t>
  </si>
  <si>
    <t xml:space="preserve">W-CRASH</t>
  </si>
  <si>
    <t xml:space="preserve">Não viu</t>
  </si>
  <si>
    <t xml:space="preserve">FASE2-WSILENT-COT</t>
  </si>
  <si>
    <t xml:space="preserve">W-SILENT</t>
  </si>
  <si>
    <t xml:space="preserve">FASE2-WCRASH-FS</t>
  </si>
  <si>
    <t xml:space="preserve">FASE2-WSILENT-FS</t>
  </si>
  <si>
    <t xml:space="preserve">FASE2-WCRASH-ZS</t>
  </si>
  <si>
    <t xml:space="preserve">FASE2-WSILENT-ZS</t>
  </si>
  <si>
    <t xml:space="preserve">REEXEC</t>
  </si>
  <si>
    <t xml:space="preserve">FASE2-WSILENT-FS_REEXEC</t>
  </si>
  <si>
    <t xml:space="preserve">Canonizou</t>
  </si>
  <si>
    <t xml:space="preserve">Integração</t>
  </si>
  <si>
    <t xml:space="preserve">FASE2-INT-COT-01_loginFlow</t>
  </si>
  <si>
    <t xml:space="preserve">FASE2-INT-COT-02_cadastroFlow</t>
  </si>
  <si>
    <t xml:space="preserve">FASE2-INT-COT-03_playlistFlow</t>
  </si>
  <si>
    <t xml:space="preserve">FASE2-INT-FS-01_loginFlow</t>
  </si>
  <si>
    <t xml:space="preserve">FASE2-INT-FS-02_cadastroFlow</t>
  </si>
  <si>
    <t xml:space="preserve">FASE2-INT-FS-03_playlistFlow</t>
  </si>
  <si>
    <t xml:space="preserve">FASE2-INT-ZS-01_loginFlow</t>
  </si>
  <si>
    <t xml:space="preserve">FASE2-INT-ZS-02_cadastroFlow</t>
  </si>
  <si>
    <t xml:space="preserve">FASE2-INT-ZS-03_playlistFlow</t>
  </si>
  <si>
    <t xml:space="preserve">FASE2-ICRASH-COT</t>
  </si>
  <si>
    <t xml:space="preserve">I-CRASH</t>
  </si>
  <si>
    <t xml:space="preserve">FASE2-ISILENT-COT</t>
  </si>
  <si>
    <t xml:space="preserve">I-SILENT</t>
  </si>
  <si>
    <t xml:space="preserve">FASE2-ICRASH-FS</t>
  </si>
  <si>
    <t xml:space="preserve">FASE2-ISILENT-FS</t>
  </si>
  <si>
    <t xml:space="preserve">FASE2-ICRASH-ZS</t>
  </si>
  <si>
    <t xml:space="preserve">FASE2-ISILENT-ZS</t>
  </si>
  <si>
    <t xml:space="preserve">FASE2-ICRASH-COT_REEXEC</t>
  </si>
  <si>
    <t xml:space="preserve">FASE2-ICRASH-FS_REEXEC</t>
  </si>
  <si>
    <t xml:space="preserve">FASE2-ICRASH-ZS_REEXEC</t>
  </si>
  <si>
    <t xml:space="preserve">não carrega</t>
  </si>
  <si>
    <t xml:space="preserve">não executada</t>
  </si>
  <si>
    <t xml:space="preserve">Fase 3</t>
  </si>
  <si>
    <t xml:space="preserve">E2E</t>
  </si>
  <si>
    <t xml:space="preserve">FASE3-E2E-COT-01_loginFlow</t>
  </si>
  <si>
    <t xml:space="preserve">FASE3-E2E-COT-02_cadastroFlow</t>
  </si>
  <si>
    <t xml:space="preserve">FASE3-E2E-COT-03_playlistFlow</t>
  </si>
  <si>
    <t xml:space="preserve">FASE3-E2E-FS-01_loginFlow</t>
  </si>
  <si>
    <t xml:space="preserve">FASE3-E2E-FS-02_cadastroFlow</t>
  </si>
  <si>
    <t xml:space="preserve">FASE3-E2E-FS-03_playlistFlow</t>
  </si>
  <si>
    <t xml:space="preserve">FASE3-E2E-ZS-01_loginFlow</t>
  </si>
  <si>
    <t xml:space="preserve">FASE3-E2E-ZS-02_cadastroFlow</t>
  </si>
  <si>
    <t xml:space="preserve">FASE3-E2E-ZS-03_playlistFlow</t>
  </si>
  <si>
    <t xml:space="preserve">FASE3-L4-COT</t>
  </si>
  <si>
    <t xml:space="preserve">L4</t>
  </si>
  <si>
    <t xml:space="preserve">FASE3-P2-COT</t>
  </si>
  <si>
    <t xml:space="preserve">P2</t>
  </si>
  <si>
    <t xml:space="preserve">FASE3-C3-FS</t>
  </si>
  <si>
    <t xml:space="preserve">C3</t>
  </si>
  <si>
    <t xml:space="preserve">FASE3-L4-FS</t>
  </si>
  <si>
    <t xml:space="preserve">FASE3-P2-FS</t>
  </si>
  <si>
    <t xml:space="preserve">FASE3-C3-ZS</t>
  </si>
  <si>
    <t xml:space="preserve">FASE3-L4-ZS</t>
  </si>
  <si>
    <t xml:space="preserve">Sem dado</t>
  </si>
  <si>
    <t xml:space="preserve">FASE3-C3-COT</t>
  </si>
  <si>
    <t xml:space="preserve">sem dado</t>
  </si>
  <si>
    <t xml:space="preserve">Sem dado (serviço)</t>
  </si>
  <si>
    <t xml:space="preserve">FASE3-P2-ZS</t>
  </si>
  <si>
    <t xml:space="preserve">A. Alvos limpos por nível × modelo</t>
  </si>
  <si>
    <t xml:space="preserve">Rodadas</t>
  </si>
  <si>
    <t xml:space="preserve">Passando</t>
  </si>
  <si>
    <t xml:space="preserve">Falhando (executa)</t>
  </si>
  <si>
    <t xml:space="preserve">Taxa</t>
  </si>
  <si>
    <t xml:space="preserve">Verdes</t>
  </si>
  <si>
    <t xml:space="preserve">Compilou 1ª</t>
  </si>
  <si>
    <t xml:space="preserve">Não compila no final</t>
  </si>
  <si>
    <t xml:space="preserve">ChatGPT</t>
  </si>
  <si>
    <t xml:space="preserve">Gemini</t>
  </si>
  <si>
    <t xml:space="preserve">Todos</t>
  </si>
  <si>
    <t xml:space="preserve">B. Bugs plantados por nível × modelo (E2E ChatGPT: 7 rodadas com dado; 2 sem dado à parte)</t>
  </si>
  <si>
    <t xml:space="preserve">C. Por estratégia × modelo (todos os níveis, limpos | bugs)</t>
  </si>
  <si>
    <t xml:space="preserve">Limpos: rodadas</t>
  </si>
  <si>
    <t xml:space="preserve">Bugs: rodadas c/ dado</t>
  </si>
  <si>
    <t xml:space="preserve">Tipo</t>
  </si>
  <si>
    <t xml:space="preserve">CRASH</t>
  </si>
  <si>
    <t xml:space="preserve">SILENT</t>
  </si>
  <si>
    <t xml:space="preserve">Rodada</t>
  </si>
  <si>
    <t xml:space="preserve">Linhas cobertas (app)</t>
  </si>
  <si>
    <t xml:space="preserve">Linhas instrumentadas</t>
  </si>
  <si>
    <t xml:space="preserve">% app</t>
  </si>
  <si>
    <t xml:space="preserve">Linhas cobertas (arquivos do alvo)</t>
  </si>
  <si>
    <t xml:space="preserve">Linhas do alvo</t>
  </si>
  <si>
    <t xml:space="preserve">% alvo</t>
  </si>
  <si>
    <t xml:space="preserve">FASE2-INT-COT_cadastro_flow</t>
  </si>
  <si>
    <t xml:space="preserve">integration</t>
  </si>
  <si>
    <t xml:space="preserve">FASE2-INT-FS_cadastro_flow</t>
  </si>
  <si>
    <t xml:space="preserve">FASE2-INT-FS_login_flow</t>
  </si>
  <si>
    <t xml:space="preserve">FASE2-INT-ZS_login_flow</t>
  </si>
  <si>
    <t xml:space="preserve">FASE2-INT-COT_playlist_flow</t>
  </si>
  <si>
    <t xml:space="preserve">FASE2-INT-FS_playlist_flow</t>
  </si>
  <si>
    <t xml:space="preserve">FASE2-INT-ZS_playlist_flow</t>
  </si>
  <si>
    <t xml:space="preserve">FASE2-UNIT-COT_validate_cep</t>
  </si>
  <si>
    <t xml:space="preserve">unit</t>
  </si>
  <si>
    <t xml:space="preserve">FASE2-UNIT-FS_validate_cep</t>
  </si>
  <si>
    <t xml:space="preserve">FASE2-UNIT-ZS_validate_cep</t>
  </si>
  <si>
    <t xml:space="preserve">FASE2-UNIT-COT_validate_date</t>
  </si>
  <si>
    <t xml:space="preserve">FASE2-UNIT-FS_validate_date</t>
  </si>
  <si>
    <t xml:space="preserve">FASE2-UNIT-ZS_validate_date</t>
  </si>
  <si>
    <t xml:space="preserve">FASE2-UNIT-COT_validate_email</t>
  </si>
  <si>
    <t xml:space="preserve">FASE2-UNIT-COT_validate_email_edit</t>
  </si>
  <si>
    <t xml:space="preserve">FASE2-UNIT-FS_validate_email_edit</t>
  </si>
  <si>
    <t xml:space="preserve">FASE2-UNIT-ZS_validate_email_edit</t>
  </si>
  <si>
    <t xml:space="preserve">FASE2-UNIT-FS_validate_email</t>
  </si>
  <si>
    <t xml:space="preserve">FASE2-UNIT-COT_validate_email_login</t>
  </si>
  <si>
    <t xml:space="preserve">FASE2-UNIT-FS_validate_email_login</t>
  </si>
  <si>
    <t xml:space="preserve">FASE2-UNIT-ZS_validate_email_login</t>
  </si>
  <si>
    <t xml:space="preserve">FASE2-UNIT-ZS_validate_email</t>
  </si>
  <si>
    <t xml:space="preserve">FASE2-UNIT-COT_validate_nome</t>
  </si>
  <si>
    <t xml:space="preserve">FASE2-UNIT-FS_validate_nome</t>
  </si>
  <si>
    <t xml:space="preserve">FASE2-UNIT-ZS_validate_nome</t>
  </si>
  <si>
    <t xml:space="preserve">FASE2-UNIT-COT_validate_numero</t>
  </si>
  <si>
    <t xml:space="preserve">FASE2-UNIT-FS_validate_numero</t>
  </si>
  <si>
    <t xml:space="preserve">FASE2-UNIT-ZS_validate_numero</t>
  </si>
  <si>
    <t xml:space="preserve">FASE2-WIDGET-COT_cadastro_screen</t>
  </si>
  <si>
    <t xml:space="preserve">widget</t>
  </si>
  <si>
    <t xml:space="preserve">FASE2-WIDGET-FS_cadastro_screen</t>
  </si>
  <si>
    <t xml:space="preserve">FASE2-WIDGET-ZS_cadastro_screen</t>
  </si>
  <si>
    <t xml:space="preserve">FASE2-WIDGET-COT_criar_playlist_screen</t>
  </si>
  <si>
    <t xml:space="preserve">FASE2-WIDGET-FS_criar_playlist_screen</t>
  </si>
  <si>
    <t xml:space="preserve">FASE2-WIDGET-ZS_criar_playlist_screen</t>
  </si>
  <si>
    <t xml:space="preserve">FASE2-WIDGET-COT_login_screen</t>
  </si>
  <si>
    <t xml:space="preserve">FASE2-WIDGET-FS_login_screen</t>
  </si>
  <si>
    <t xml:space="preserve">FASE2-WIDGET-ZS_login_screen</t>
  </si>
  <si>
    <t xml:space="preserve">FASE2-INT-ZS_cadastro_flow</t>
  </si>
  <si>
    <t xml:space="preserve">FASE2-INT-COT_login_flow</t>
  </si>
  <si>
    <t xml:space="preserve">e2e</t>
  </si>
  <si>
    <t xml:space="preserve">Resumo (união da célula, dos resumos do CLI): % das linhas do app cobertas por pelo menos uma rodada da célula</t>
  </si>
  <si>
    <t xml:space="preserve">ChatGPT união %</t>
  </si>
  <si>
    <t xml:space="preserve">Gemini união %</t>
  </si>
  <si>
    <t xml:space="preserve">ChatGPT média % por rodada</t>
  </si>
  <si>
    <t xml:space="preserve">Gemini média % por rodada</t>
  </si>
  <si>
    <t xml:space="preserve">Obs.</t>
  </si>
  <si>
    <t xml:space="preserve">denominador = validators.dart (46 linhas); união idêntica em todas as células</t>
  </si>
  <si>
    <t xml:space="preserve">ChatGPT: 2 rodadas medidas (COT-01 não compila)</t>
  </si>
  <si>
    <t xml:space="preserve">Gemini: 2 rodadas; denominador 296 (não importa main.dart)</t>
  </si>
  <si>
    <t xml:space="preserve">Gemini FS: arquivos quase não executam</t>
  </si>
  <si>
    <t xml:space="preserve">Gemini: 2 rodadas medidas</t>
  </si>
  <si>
    <t xml:space="preserve">ChatGPT playlist 0/2 na medição (instável)</t>
  </si>
  <si>
    <t xml:space="preserve">ChatGPT playlist 0/1</t>
  </si>
  <si>
    <t xml:space="preserve">ChatGPT playlist 0/4</t>
  </si>
  <si>
    <t xml:space="preserve">Cobertura = execução da medição de 2026-10-07 (não a da rodada); coletada independentemente de o teste passar. Fase 2: 75 de 78 rodadas limpas medidas. Fase 3: 18/18. Fonte: fase2/analise/cobertura.csv, fase3-e2e/analise/cobertura.csv e resumos.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</si>
</sst>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DDDD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0"/>
  </cols>
  <sheetData>
    <row r="1" customFormat="false" ht="15.75" hidden="false" customHeight="true" outlineLevel="0" collapsed="false">
      <c r="A1" s="2" t="s">
        <v>0</v>
      </c>
    </row>
    <row r="2" customFormat="false" ht="27.75" hidden="false" customHeight="true" outlineLevel="0" collapsed="false">
      <c r="A2" s="3" t="s">
        <v>1</v>
      </c>
    </row>
    <row r="3" customFormat="false" ht="27.75" hidden="false" customHeight="true" outlineLevel="0" collapsed="false">
      <c r="A3" s="3" t="s">
        <v>2</v>
      </c>
    </row>
    <row r="4" customFormat="false" ht="27.75" hidden="false" customHeight="true" outlineLevel="0" collapsed="false">
      <c r="A4" s="3" t="s">
        <v>3</v>
      </c>
    </row>
    <row r="5" customFormat="false" ht="41.25" hidden="false" customHeight="true" outlineLevel="0" collapsed="false">
      <c r="A5" s="3" t="s">
        <v>4</v>
      </c>
    </row>
    <row r="6" customFormat="false" ht="27.75" hidden="false" customHeight="true" outlineLevel="0" collapsed="false">
      <c r="A6" s="3" t="s">
        <v>5</v>
      </c>
    </row>
    <row r="7" customFormat="false" ht="27.75" hidden="false" customHeight="true" outlineLevel="0" collapsed="false">
      <c r="A7" s="3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3" min="3" style="1" width="9"/>
    <col collapsed="false" customWidth="true" hidden="false" outlineLevel="0" max="5" min="4" style="1" width="10"/>
    <col collapsed="false" customWidth="true" hidden="false" outlineLevel="0" max="6" min="6" style="1" width="34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9" min="9" style="1" width="9"/>
    <col collapsed="false" customWidth="true" hidden="false" outlineLevel="0" max="11" min="10" style="1" width="10"/>
    <col collapsed="false" customWidth="true" hidden="false" outlineLevel="0" max="12" min="12" style="1" width="12"/>
    <col collapsed="false" customWidth="true" hidden="false" outlineLevel="0" max="13" min="13" style="1" width="9"/>
    <col collapsed="false" customWidth="true" hidden="false" outlineLevel="0" max="14" min="14" style="1" width="24"/>
    <col collapsed="false" customWidth="true" hidden="false" outlineLevel="0" max="15" min="15" style="1" width="10"/>
    <col collapsed="false" customWidth="true" hidden="false" outlineLevel="0" max="16" min="16" style="1" width="9"/>
  </cols>
  <sheetData>
    <row r="1" customFormat="false" ht="15" hidden="false" customHeight="true" outlineLevel="0" collapsed="false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</row>
    <row r="2" customFormat="false" ht="15" hidden="false" customHeight="true" outlineLevel="0" collapsed="false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H2" s="1" t="n">
        <v>1</v>
      </c>
      <c r="I2" s="1" t="n">
        <v>21</v>
      </c>
      <c r="J2" s="1" t="n">
        <v>21</v>
      </c>
      <c r="K2" s="1" t="n">
        <v>0</v>
      </c>
      <c r="L2" s="1" t="s">
        <v>29</v>
      </c>
      <c r="M2" s="1" t="n">
        <v>0</v>
      </c>
      <c r="O2" s="1" t="n">
        <v>0</v>
      </c>
      <c r="P2" s="1" t="n">
        <f aca="false">IF(AND(L2="executa",K2=0,J2&gt;0),1,0)</f>
        <v>1</v>
      </c>
    </row>
    <row r="3" customFormat="false" ht="15" hidden="false" customHeight="true" outlineLevel="0" collapsed="false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30</v>
      </c>
      <c r="H3" s="1" t="n">
        <v>1</v>
      </c>
      <c r="I3" s="1" t="n">
        <v>19</v>
      </c>
      <c r="J3" s="1" t="n">
        <v>19</v>
      </c>
      <c r="K3" s="1" t="n">
        <v>0</v>
      </c>
      <c r="L3" s="1" t="s">
        <v>29</v>
      </c>
      <c r="M3" s="1" t="n">
        <v>1</v>
      </c>
      <c r="O3" s="1" t="n">
        <v>0</v>
      </c>
      <c r="P3" s="1" t="n">
        <f aca="false">IF(AND(L3="executa",K3=0,J3&gt;0),1,0)</f>
        <v>1</v>
      </c>
    </row>
    <row r="4" customFormat="false" ht="15" hidden="false" customHeight="true" outlineLevel="0" collapsed="false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31</v>
      </c>
      <c r="H4" s="1" t="n">
        <v>1</v>
      </c>
      <c r="I4" s="1" t="n">
        <v>23</v>
      </c>
      <c r="J4" s="1" t="n">
        <v>23</v>
      </c>
      <c r="K4" s="1" t="n">
        <v>0</v>
      </c>
      <c r="L4" s="1" t="s">
        <v>29</v>
      </c>
      <c r="M4" s="1" t="n">
        <v>0</v>
      </c>
      <c r="O4" s="1" t="n">
        <v>0</v>
      </c>
      <c r="P4" s="1" t="n">
        <f aca="false">IF(AND(L4="executa",K4=0,J4&gt;0),1,0)</f>
        <v>1</v>
      </c>
    </row>
    <row r="5" customFormat="false" ht="15" hidden="false" customHeight="true" outlineLevel="0" collapsed="false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32</v>
      </c>
      <c r="H5" s="1" t="n">
        <v>1</v>
      </c>
      <c r="I5" s="1" t="n">
        <v>24</v>
      </c>
      <c r="J5" s="1" t="n">
        <v>24</v>
      </c>
      <c r="K5" s="1" t="n">
        <v>0</v>
      </c>
      <c r="L5" s="1" t="s">
        <v>29</v>
      </c>
      <c r="M5" s="1" t="n">
        <v>0</v>
      </c>
      <c r="O5" s="1" t="n">
        <v>0</v>
      </c>
      <c r="P5" s="1" t="n">
        <f aca="false">IF(AND(L5="executa",K5=0,J5&gt;0),1,0)</f>
        <v>1</v>
      </c>
    </row>
    <row r="6" customFormat="false" ht="15" hidden="false" customHeight="true" outlineLevel="0" collapsed="false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33</v>
      </c>
      <c r="H6" s="1" t="n">
        <v>1</v>
      </c>
      <c r="I6" s="1" t="n">
        <v>19</v>
      </c>
      <c r="J6" s="1" t="n">
        <v>18</v>
      </c>
      <c r="K6" s="1" t="n">
        <v>1</v>
      </c>
      <c r="L6" s="1" t="s">
        <v>29</v>
      </c>
      <c r="M6" s="1" t="n">
        <v>1</v>
      </c>
      <c r="O6" s="1" t="n">
        <v>1</v>
      </c>
      <c r="P6" s="1" t="n">
        <f aca="false">IF(AND(L6="executa",K6=0,J6&gt;0),1,0)</f>
        <v>0</v>
      </c>
    </row>
    <row r="7" customFormat="false" ht="15" hidden="false" customHeight="true" outlineLevel="0" collapsed="false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34</v>
      </c>
      <c r="H7" s="1" t="n">
        <v>1</v>
      </c>
      <c r="I7" s="1" t="n">
        <v>37</v>
      </c>
      <c r="J7" s="1" t="n">
        <v>37</v>
      </c>
      <c r="K7" s="1" t="n">
        <v>0</v>
      </c>
      <c r="L7" s="1" t="s">
        <v>29</v>
      </c>
      <c r="M7" s="1" t="n">
        <v>0</v>
      </c>
      <c r="O7" s="1" t="n">
        <v>0</v>
      </c>
      <c r="P7" s="1" t="n">
        <f aca="false">IF(AND(L7="executa",K7=0,J7&gt;0),1,0)</f>
        <v>1</v>
      </c>
    </row>
    <row r="8" customFormat="false" ht="15" hidden="false" customHeight="true" outlineLevel="0" collapsed="false">
      <c r="A8" s="1" t="s">
        <v>23</v>
      </c>
      <c r="B8" s="1" t="s">
        <v>24</v>
      </c>
      <c r="C8" s="1" t="s">
        <v>25</v>
      </c>
      <c r="D8" s="1" t="s">
        <v>26</v>
      </c>
      <c r="E8" s="1" t="s">
        <v>27</v>
      </c>
      <c r="F8" s="1" t="s">
        <v>35</v>
      </c>
      <c r="H8" s="1" t="n">
        <v>1</v>
      </c>
      <c r="I8" s="1" t="n">
        <v>32</v>
      </c>
      <c r="J8" s="1" t="n">
        <v>32</v>
      </c>
      <c r="K8" s="1" t="n">
        <v>0</v>
      </c>
      <c r="L8" s="1" t="s">
        <v>29</v>
      </c>
      <c r="M8" s="1" t="n">
        <v>1</v>
      </c>
      <c r="O8" s="1" t="n">
        <v>0</v>
      </c>
      <c r="P8" s="1" t="n">
        <f aca="false">IF(AND(L8="executa",K8=0,J8&gt;0),1,0)</f>
        <v>1</v>
      </c>
    </row>
    <row r="9" customFormat="false" ht="15" hidden="false" customHeight="true" outlineLevel="0" collapsed="false">
      <c r="A9" s="1" t="s">
        <v>23</v>
      </c>
      <c r="B9" s="1" t="s">
        <v>24</v>
      </c>
      <c r="C9" s="1" t="s">
        <v>25</v>
      </c>
      <c r="D9" s="1" t="s">
        <v>36</v>
      </c>
      <c r="E9" s="1" t="s">
        <v>27</v>
      </c>
      <c r="F9" s="1" t="s">
        <v>37</v>
      </c>
      <c r="H9" s="1" t="n">
        <v>1</v>
      </c>
      <c r="I9" s="1" t="n">
        <v>6</v>
      </c>
      <c r="J9" s="1" t="n">
        <v>6</v>
      </c>
      <c r="K9" s="1" t="n">
        <v>0</v>
      </c>
      <c r="L9" s="1" t="s">
        <v>29</v>
      </c>
      <c r="M9" s="1" t="n">
        <v>0</v>
      </c>
      <c r="O9" s="1" t="n">
        <v>0</v>
      </c>
      <c r="P9" s="1" t="n">
        <f aca="false">IF(AND(L9="executa",K9=0,J9&gt;0),1,0)</f>
        <v>1</v>
      </c>
    </row>
    <row r="10" customFormat="false" ht="15" hidden="false" customHeight="true" outlineLevel="0" collapsed="false">
      <c r="A10" s="1" t="s">
        <v>23</v>
      </c>
      <c r="B10" s="1" t="s">
        <v>24</v>
      </c>
      <c r="C10" s="1" t="s">
        <v>25</v>
      </c>
      <c r="D10" s="1" t="s">
        <v>36</v>
      </c>
      <c r="E10" s="1" t="s">
        <v>27</v>
      </c>
      <c r="F10" s="1" t="s">
        <v>38</v>
      </c>
      <c r="H10" s="1" t="n">
        <v>1</v>
      </c>
      <c r="I10" s="1" t="n">
        <v>4</v>
      </c>
      <c r="J10" s="1" t="n">
        <v>4</v>
      </c>
      <c r="K10" s="1" t="n">
        <v>0</v>
      </c>
      <c r="L10" s="1" t="s">
        <v>29</v>
      </c>
      <c r="M10" s="1" t="n">
        <v>0</v>
      </c>
      <c r="O10" s="1" t="n">
        <v>0</v>
      </c>
      <c r="P10" s="1" t="n">
        <f aca="false">IF(AND(L10="executa",K10=0,J10&gt;0),1,0)</f>
        <v>1</v>
      </c>
    </row>
    <row r="11" customFormat="false" ht="15" hidden="false" customHeight="true" outlineLevel="0" collapsed="false">
      <c r="A11" s="1" t="s">
        <v>23</v>
      </c>
      <c r="B11" s="1" t="s">
        <v>24</v>
      </c>
      <c r="C11" s="1" t="s">
        <v>25</v>
      </c>
      <c r="D11" s="1" t="s">
        <v>36</v>
      </c>
      <c r="E11" s="1" t="s">
        <v>27</v>
      </c>
      <c r="F11" s="1" t="s">
        <v>39</v>
      </c>
      <c r="H11" s="1" t="n">
        <v>1</v>
      </c>
      <c r="I11" s="1" t="n">
        <v>7</v>
      </c>
      <c r="J11" s="1" t="n">
        <v>7</v>
      </c>
      <c r="K11" s="1" t="n">
        <v>0</v>
      </c>
      <c r="L11" s="1" t="s">
        <v>29</v>
      </c>
      <c r="M11" s="1" t="n">
        <v>0</v>
      </c>
      <c r="O11" s="1" t="n">
        <v>0</v>
      </c>
      <c r="P11" s="1" t="n">
        <f aca="false">IF(AND(L11="executa",K11=0,J11&gt;0),1,0)</f>
        <v>1</v>
      </c>
    </row>
    <row r="12" customFormat="false" ht="15" hidden="false" customHeight="true" outlineLevel="0" collapsed="false">
      <c r="A12" s="1" t="s">
        <v>23</v>
      </c>
      <c r="B12" s="1" t="s">
        <v>24</v>
      </c>
      <c r="C12" s="1" t="s">
        <v>25</v>
      </c>
      <c r="D12" s="1" t="s">
        <v>36</v>
      </c>
      <c r="E12" s="1" t="s">
        <v>27</v>
      </c>
      <c r="F12" s="1" t="s">
        <v>40</v>
      </c>
      <c r="H12" s="1" t="n">
        <v>1</v>
      </c>
      <c r="I12" s="1" t="n">
        <v>9</v>
      </c>
      <c r="J12" s="1" t="n">
        <v>9</v>
      </c>
      <c r="K12" s="1" t="n">
        <v>0</v>
      </c>
      <c r="L12" s="1" t="s">
        <v>29</v>
      </c>
      <c r="M12" s="1" t="n">
        <v>0</v>
      </c>
      <c r="O12" s="1" t="n">
        <v>0</v>
      </c>
      <c r="P12" s="1" t="n">
        <f aca="false">IF(AND(L12="executa",K12=0,J12&gt;0),1,0)</f>
        <v>1</v>
      </c>
    </row>
    <row r="13" customFormat="false" ht="15" hidden="false" customHeight="true" outlineLevel="0" collapsed="false">
      <c r="A13" s="1" t="s">
        <v>23</v>
      </c>
      <c r="B13" s="1" t="s">
        <v>24</v>
      </c>
      <c r="C13" s="1" t="s">
        <v>25</v>
      </c>
      <c r="D13" s="1" t="s">
        <v>36</v>
      </c>
      <c r="E13" s="1" t="s">
        <v>27</v>
      </c>
      <c r="F13" s="1" t="s">
        <v>41</v>
      </c>
      <c r="H13" s="1" t="n">
        <v>1</v>
      </c>
      <c r="I13" s="1" t="n">
        <v>6</v>
      </c>
      <c r="J13" s="1" t="n">
        <v>6</v>
      </c>
      <c r="K13" s="1" t="n">
        <v>0</v>
      </c>
      <c r="L13" s="1" t="s">
        <v>29</v>
      </c>
      <c r="M13" s="1" t="n">
        <v>0</v>
      </c>
      <c r="O13" s="1" t="n">
        <v>0</v>
      </c>
      <c r="P13" s="1" t="n">
        <f aca="false">IF(AND(L13="executa",K13=0,J13&gt;0),1,0)</f>
        <v>1</v>
      </c>
    </row>
    <row r="14" customFormat="false" ht="15" hidden="false" customHeight="true" outlineLevel="0" collapsed="false">
      <c r="A14" s="1" t="s">
        <v>23</v>
      </c>
      <c r="B14" s="1" t="s">
        <v>24</v>
      </c>
      <c r="C14" s="1" t="s">
        <v>25</v>
      </c>
      <c r="D14" s="1" t="s">
        <v>36</v>
      </c>
      <c r="E14" s="1" t="s">
        <v>27</v>
      </c>
      <c r="F14" s="1" t="s">
        <v>42</v>
      </c>
      <c r="H14" s="1" t="n">
        <v>1</v>
      </c>
      <c r="I14" s="1" t="n">
        <v>8</v>
      </c>
      <c r="J14" s="1" t="n">
        <v>8</v>
      </c>
      <c r="K14" s="1" t="n">
        <v>0</v>
      </c>
      <c r="L14" s="1" t="s">
        <v>29</v>
      </c>
      <c r="M14" s="1" t="n">
        <v>0</v>
      </c>
      <c r="O14" s="1" t="n">
        <v>0</v>
      </c>
      <c r="P14" s="1" t="n">
        <f aca="false">IF(AND(L14="executa",K14=0,J14&gt;0),1,0)</f>
        <v>1</v>
      </c>
    </row>
    <row r="15" customFormat="false" ht="15" hidden="false" customHeight="true" outlineLevel="0" collapsed="false">
      <c r="A15" s="1" t="s">
        <v>23</v>
      </c>
      <c r="B15" s="1" t="s">
        <v>24</v>
      </c>
      <c r="C15" s="1" t="s">
        <v>25</v>
      </c>
      <c r="D15" s="1" t="s">
        <v>36</v>
      </c>
      <c r="E15" s="1" t="s">
        <v>27</v>
      </c>
      <c r="F15" s="1" t="s">
        <v>43</v>
      </c>
      <c r="H15" s="1" t="n">
        <v>1</v>
      </c>
      <c r="I15" s="1" t="n">
        <v>14</v>
      </c>
      <c r="J15" s="1" t="n">
        <v>14</v>
      </c>
      <c r="K15" s="1" t="n">
        <v>0</v>
      </c>
      <c r="L15" s="1" t="s">
        <v>29</v>
      </c>
      <c r="M15" s="1" t="n">
        <v>0</v>
      </c>
      <c r="O15" s="1" t="n">
        <v>0</v>
      </c>
      <c r="P15" s="1" t="n">
        <f aca="false">IF(AND(L15="executa",K15=0,J15&gt;0),1,0)</f>
        <v>1</v>
      </c>
    </row>
    <row r="16" customFormat="false" ht="15" hidden="false" customHeight="true" outlineLevel="0" collapsed="false">
      <c r="A16" s="1" t="s">
        <v>23</v>
      </c>
      <c r="B16" s="1" t="s">
        <v>24</v>
      </c>
      <c r="C16" s="1" t="s">
        <v>25</v>
      </c>
      <c r="D16" s="1" t="s">
        <v>44</v>
      </c>
      <c r="E16" s="1" t="s">
        <v>27</v>
      </c>
      <c r="F16" s="1" t="s">
        <v>45</v>
      </c>
      <c r="H16" s="1" t="n">
        <v>1</v>
      </c>
      <c r="I16" s="1" t="n">
        <v>19</v>
      </c>
      <c r="J16" s="1" t="n">
        <v>19</v>
      </c>
      <c r="K16" s="1" t="n">
        <v>0</v>
      </c>
      <c r="L16" s="1" t="s">
        <v>29</v>
      </c>
      <c r="M16" s="1" t="n">
        <v>1</v>
      </c>
      <c r="O16" s="1" t="n">
        <v>0</v>
      </c>
      <c r="P16" s="1" t="n">
        <f aca="false">IF(AND(L16="executa",K16=0,J16&gt;0),1,0)</f>
        <v>1</v>
      </c>
    </row>
    <row r="17" customFormat="false" ht="15" hidden="false" customHeight="true" outlineLevel="0" collapsed="false">
      <c r="A17" s="1" t="s">
        <v>23</v>
      </c>
      <c r="B17" s="1" t="s">
        <v>24</v>
      </c>
      <c r="C17" s="1" t="s">
        <v>25</v>
      </c>
      <c r="D17" s="1" t="s">
        <v>44</v>
      </c>
      <c r="E17" s="1" t="s">
        <v>27</v>
      </c>
      <c r="F17" s="1" t="s">
        <v>46</v>
      </c>
      <c r="H17" s="1" t="n">
        <v>1</v>
      </c>
      <c r="I17" s="1" t="n">
        <v>15</v>
      </c>
      <c r="J17" s="1" t="n">
        <v>15</v>
      </c>
      <c r="K17" s="1" t="n">
        <v>0</v>
      </c>
      <c r="L17" s="1" t="s">
        <v>29</v>
      </c>
      <c r="M17" s="1" t="n">
        <v>1</v>
      </c>
      <c r="O17" s="1" t="n">
        <v>0</v>
      </c>
      <c r="P17" s="1" t="n">
        <f aca="false">IF(AND(L17="executa",K17=0,J17&gt;0),1,0)</f>
        <v>1</v>
      </c>
    </row>
    <row r="18" customFormat="false" ht="15" hidden="false" customHeight="true" outlineLevel="0" collapsed="false">
      <c r="A18" s="1" t="s">
        <v>23</v>
      </c>
      <c r="B18" s="1" t="s">
        <v>24</v>
      </c>
      <c r="C18" s="1" t="s">
        <v>25</v>
      </c>
      <c r="D18" s="1" t="s">
        <v>44</v>
      </c>
      <c r="E18" s="1" t="s">
        <v>27</v>
      </c>
      <c r="F18" s="1" t="s">
        <v>47</v>
      </c>
      <c r="H18" s="1" t="n">
        <v>1</v>
      </c>
      <c r="I18" s="1" t="n">
        <v>16</v>
      </c>
      <c r="J18" s="1" t="n">
        <v>16</v>
      </c>
      <c r="K18" s="1" t="n">
        <v>0</v>
      </c>
      <c r="L18" s="1" t="s">
        <v>29</v>
      </c>
      <c r="M18" s="1" t="n">
        <v>0</v>
      </c>
      <c r="O18" s="1" t="n">
        <v>0</v>
      </c>
      <c r="P18" s="1" t="n">
        <f aca="false">IF(AND(L18="executa",K18=0,J18&gt;0),1,0)</f>
        <v>1</v>
      </c>
    </row>
    <row r="19" customFormat="false" ht="15" hidden="false" customHeight="true" outlineLevel="0" collapsed="false">
      <c r="A19" s="1" t="s">
        <v>23</v>
      </c>
      <c r="B19" s="1" t="s">
        <v>24</v>
      </c>
      <c r="C19" s="1" t="s">
        <v>25</v>
      </c>
      <c r="D19" s="1" t="s">
        <v>44</v>
      </c>
      <c r="E19" s="1" t="s">
        <v>27</v>
      </c>
      <c r="F19" s="1" t="s">
        <v>48</v>
      </c>
      <c r="H19" s="1" t="n">
        <v>1</v>
      </c>
      <c r="I19" s="1" t="n">
        <v>25</v>
      </c>
      <c r="J19" s="1" t="n">
        <v>25</v>
      </c>
      <c r="K19" s="1" t="n">
        <v>0</v>
      </c>
      <c r="L19" s="1" t="s">
        <v>29</v>
      </c>
      <c r="M19" s="1" t="n">
        <v>0</v>
      </c>
      <c r="O19" s="1" t="n">
        <v>0</v>
      </c>
      <c r="P19" s="1" t="n">
        <f aca="false">IF(AND(L19="executa",K19=0,J19&gt;0),1,0)</f>
        <v>1</v>
      </c>
    </row>
    <row r="20" customFormat="false" ht="15" hidden="false" customHeight="true" outlineLevel="0" collapsed="false">
      <c r="A20" s="1" t="s">
        <v>23</v>
      </c>
      <c r="B20" s="1" t="s">
        <v>24</v>
      </c>
      <c r="C20" s="1" t="s">
        <v>25</v>
      </c>
      <c r="D20" s="1" t="s">
        <v>44</v>
      </c>
      <c r="E20" s="1" t="s">
        <v>27</v>
      </c>
      <c r="F20" s="1" t="s">
        <v>49</v>
      </c>
      <c r="H20" s="1" t="n">
        <v>1</v>
      </c>
      <c r="I20" s="1" t="n">
        <v>17</v>
      </c>
      <c r="J20" s="1" t="n">
        <v>17</v>
      </c>
      <c r="K20" s="1" t="n">
        <v>0</v>
      </c>
      <c r="L20" s="1" t="s">
        <v>29</v>
      </c>
      <c r="M20" s="1" t="n">
        <v>1</v>
      </c>
      <c r="O20" s="1" t="n">
        <v>0</v>
      </c>
      <c r="P20" s="1" t="n">
        <f aca="false">IF(AND(L20="executa",K20=0,J20&gt;0),1,0)</f>
        <v>1</v>
      </c>
    </row>
    <row r="21" customFormat="false" ht="15" hidden="false" customHeight="true" outlineLevel="0" collapsed="false">
      <c r="A21" s="1" t="s">
        <v>23</v>
      </c>
      <c r="B21" s="1" t="s">
        <v>24</v>
      </c>
      <c r="C21" s="1" t="s">
        <v>25</v>
      </c>
      <c r="D21" s="1" t="s">
        <v>44</v>
      </c>
      <c r="E21" s="1" t="s">
        <v>27</v>
      </c>
      <c r="F21" s="1" t="s">
        <v>50</v>
      </c>
      <c r="H21" s="1" t="n">
        <v>1</v>
      </c>
      <c r="I21" s="1" t="n">
        <v>20</v>
      </c>
      <c r="J21" s="1" t="n">
        <v>20</v>
      </c>
      <c r="K21" s="1" t="n">
        <v>0</v>
      </c>
      <c r="L21" s="1" t="s">
        <v>29</v>
      </c>
      <c r="M21" s="1" t="n">
        <v>0</v>
      </c>
      <c r="O21" s="1" t="n">
        <v>0</v>
      </c>
      <c r="P21" s="1" t="n">
        <f aca="false">IF(AND(L21="executa",K21=0,J21&gt;0),1,0)</f>
        <v>1</v>
      </c>
    </row>
    <row r="22" customFormat="false" ht="15" hidden="false" customHeight="true" outlineLevel="0" collapsed="false">
      <c r="A22" s="1" t="s">
        <v>23</v>
      </c>
      <c r="B22" s="1" t="s">
        <v>24</v>
      </c>
      <c r="C22" s="1" t="s">
        <v>25</v>
      </c>
      <c r="D22" s="1" t="s">
        <v>44</v>
      </c>
      <c r="E22" s="1" t="s">
        <v>27</v>
      </c>
      <c r="F22" s="1" t="s">
        <v>51</v>
      </c>
      <c r="H22" s="1" t="n">
        <v>1</v>
      </c>
      <c r="I22" s="1" t="n">
        <v>33</v>
      </c>
      <c r="J22" s="1" t="n">
        <v>33</v>
      </c>
      <c r="K22" s="1" t="n">
        <v>0</v>
      </c>
      <c r="L22" s="1" t="s">
        <v>29</v>
      </c>
      <c r="M22" s="1" t="n">
        <v>0</v>
      </c>
      <c r="O22" s="1" t="n">
        <v>0</v>
      </c>
      <c r="P22" s="1" t="n">
        <f aca="false">IF(AND(L22="executa",K22=0,J22&gt;0),1,0)</f>
        <v>1</v>
      </c>
    </row>
    <row r="23" customFormat="false" ht="15" hidden="false" customHeight="true" outlineLevel="0" collapsed="false">
      <c r="A23" s="1" t="s">
        <v>23</v>
      </c>
      <c r="B23" s="1" t="s">
        <v>24</v>
      </c>
      <c r="C23" s="1" t="s">
        <v>25</v>
      </c>
      <c r="D23" s="1" t="s">
        <v>26</v>
      </c>
      <c r="E23" s="1" t="s">
        <v>13</v>
      </c>
      <c r="F23" s="1" t="s">
        <v>52</v>
      </c>
      <c r="G23" s="1" t="s">
        <v>53</v>
      </c>
      <c r="H23" s="1" t="n">
        <v>1</v>
      </c>
      <c r="I23" s="1" t="n">
        <v>12</v>
      </c>
      <c r="J23" s="1" t="n">
        <v>12</v>
      </c>
      <c r="K23" s="1" t="n">
        <v>0</v>
      </c>
      <c r="L23" s="1" t="s">
        <v>29</v>
      </c>
      <c r="M23" s="1" t="n">
        <v>0</v>
      </c>
      <c r="N23" s="1" t="s">
        <v>54</v>
      </c>
      <c r="O23" s="1" t="n">
        <v>0</v>
      </c>
      <c r="P23" s="1" t="n">
        <f aca="false">IF(AND(L23="executa",K23=0,J23&gt;0),1,0)</f>
        <v>1</v>
      </c>
    </row>
    <row r="24" customFormat="false" ht="15" hidden="false" customHeight="true" outlineLevel="0" collapsed="false">
      <c r="A24" s="1" t="s">
        <v>23</v>
      </c>
      <c r="B24" s="1" t="s">
        <v>24</v>
      </c>
      <c r="C24" s="1" t="s">
        <v>25</v>
      </c>
      <c r="D24" s="1" t="s">
        <v>26</v>
      </c>
      <c r="E24" s="1" t="s">
        <v>13</v>
      </c>
      <c r="F24" s="1" t="s">
        <v>55</v>
      </c>
      <c r="G24" s="1" t="s">
        <v>56</v>
      </c>
      <c r="H24" s="1" t="n">
        <v>1</v>
      </c>
      <c r="I24" s="1" t="n">
        <v>14</v>
      </c>
      <c r="J24" s="1" t="n">
        <v>14</v>
      </c>
      <c r="K24" s="1" t="n">
        <v>0</v>
      </c>
      <c r="L24" s="1" t="s">
        <v>29</v>
      </c>
      <c r="M24" s="1" t="n">
        <v>0</v>
      </c>
      <c r="N24" s="1" t="s">
        <v>54</v>
      </c>
      <c r="O24" s="1" t="n">
        <v>0</v>
      </c>
      <c r="P24" s="1" t="n">
        <f aca="false">IF(AND(L24="executa",K24=0,J24&gt;0),1,0)</f>
        <v>1</v>
      </c>
    </row>
    <row r="25" customFormat="false" ht="15" hidden="false" customHeight="true" outlineLevel="0" collapsed="false">
      <c r="A25" s="1" t="s">
        <v>23</v>
      </c>
      <c r="B25" s="1" t="s">
        <v>24</v>
      </c>
      <c r="C25" s="1" t="s">
        <v>25</v>
      </c>
      <c r="D25" s="1" t="s">
        <v>36</v>
      </c>
      <c r="E25" s="1" t="s">
        <v>13</v>
      </c>
      <c r="F25" s="1" t="s">
        <v>57</v>
      </c>
      <c r="G25" s="1" t="s">
        <v>53</v>
      </c>
      <c r="H25" s="1" t="n">
        <v>1</v>
      </c>
      <c r="I25" s="1" t="n">
        <v>6</v>
      </c>
      <c r="J25" s="1" t="n">
        <v>5</v>
      </c>
      <c r="K25" s="1" t="n">
        <v>1</v>
      </c>
      <c r="L25" s="1" t="s">
        <v>29</v>
      </c>
      <c r="M25" s="1" t="n">
        <v>1</v>
      </c>
      <c r="N25" s="1" t="s">
        <v>58</v>
      </c>
      <c r="O25" s="1" t="n">
        <v>1</v>
      </c>
      <c r="P25" s="1" t="n">
        <f aca="false">IF(AND(L25="executa",K25=0,J25&gt;0),1,0)</f>
        <v>0</v>
      </c>
    </row>
    <row r="26" customFormat="false" ht="15" hidden="false" customHeight="true" outlineLevel="0" collapsed="false">
      <c r="A26" s="1" t="s">
        <v>23</v>
      </c>
      <c r="B26" s="1" t="s">
        <v>24</v>
      </c>
      <c r="C26" s="1" t="s">
        <v>25</v>
      </c>
      <c r="D26" s="1" t="s">
        <v>36</v>
      </c>
      <c r="E26" s="1" t="s">
        <v>13</v>
      </c>
      <c r="F26" s="1" t="s">
        <v>59</v>
      </c>
      <c r="G26" s="1" t="s">
        <v>56</v>
      </c>
      <c r="H26" s="1" t="n">
        <v>1</v>
      </c>
      <c r="I26" s="1" t="n">
        <v>6</v>
      </c>
      <c r="J26" s="1" t="n">
        <v>6</v>
      </c>
      <c r="K26" s="1" t="n">
        <v>0</v>
      </c>
      <c r="L26" s="1" t="s">
        <v>29</v>
      </c>
      <c r="M26" s="1" t="n">
        <v>0</v>
      </c>
      <c r="N26" s="1" t="s">
        <v>54</v>
      </c>
      <c r="O26" s="1" t="n">
        <v>0</v>
      </c>
      <c r="P26" s="1" t="n">
        <f aca="false">IF(AND(L26="executa",K26=0,J26&gt;0),1,0)</f>
        <v>1</v>
      </c>
    </row>
    <row r="27" customFormat="false" ht="15" hidden="false" customHeight="true" outlineLevel="0" collapsed="false">
      <c r="A27" s="1" t="s">
        <v>23</v>
      </c>
      <c r="B27" s="1" t="s">
        <v>24</v>
      </c>
      <c r="C27" s="1" t="s">
        <v>25</v>
      </c>
      <c r="D27" s="1" t="s">
        <v>44</v>
      </c>
      <c r="E27" s="1" t="s">
        <v>13</v>
      </c>
      <c r="F27" s="1" t="s">
        <v>60</v>
      </c>
      <c r="G27" s="1" t="s">
        <v>53</v>
      </c>
      <c r="H27" s="1" t="n">
        <v>1</v>
      </c>
      <c r="I27" s="1" t="n">
        <v>12</v>
      </c>
      <c r="J27" s="1" t="n">
        <v>12</v>
      </c>
      <c r="K27" s="1" t="n">
        <v>0</v>
      </c>
      <c r="L27" s="1" t="s">
        <v>29</v>
      </c>
      <c r="M27" s="1" t="n">
        <v>0</v>
      </c>
      <c r="N27" s="1" t="s">
        <v>54</v>
      </c>
      <c r="O27" s="1" t="n">
        <v>0</v>
      </c>
      <c r="P27" s="1" t="n">
        <f aca="false">IF(AND(L27="executa",K27=0,J27&gt;0),1,0)</f>
        <v>1</v>
      </c>
    </row>
    <row r="28" customFormat="false" ht="15" hidden="false" customHeight="true" outlineLevel="0" collapsed="false">
      <c r="A28" s="1" t="s">
        <v>23</v>
      </c>
      <c r="B28" s="1" t="s">
        <v>24</v>
      </c>
      <c r="C28" s="1" t="s">
        <v>25</v>
      </c>
      <c r="D28" s="1" t="s">
        <v>44</v>
      </c>
      <c r="E28" s="1" t="s">
        <v>13</v>
      </c>
      <c r="F28" s="1" t="s">
        <v>61</v>
      </c>
      <c r="G28" s="1" t="s">
        <v>56</v>
      </c>
      <c r="H28" s="1" t="n">
        <v>1</v>
      </c>
      <c r="I28" s="1" t="n">
        <v>12</v>
      </c>
      <c r="J28" s="1" t="n">
        <v>12</v>
      </c>
      <c r="K28" s="1" t="n">
        <v>0</v>
      </c>
      <c r="L28" s="1" t="s">
        <v>29</v>
      </c>
      <c r="M28" s="1" t="n">
        <v>0</v>
      </c>
      <c r="N28" s="1" t="s">
        <v>54</v>
      </c>
      <c r="O28" s="1" t="n">
        <v>0</v>
      </c>
      <c r="P28" s="1" t="n">
        <f aca="false">IF(AND(L28="executa",K28=0,J28&gt;0),1,0)</f>
        <v>1</v>
      </c>
    </row>
    <row r="29" customFormat="false" ht="15" hidden="false" customHeight="true" outlineLevel="0" collapsed="false">
      <c r="A29" s="1" t="s">
        <v>23</v>
      </c>
      <c r="B29" s="1" t="s">
        <v>24</v>
      </c>
      <c r="C29" s="1" t="s">
        <v>25</v>
      </c>
      <c r="D29" s="1" t="s">
        <v>26</v>
      </c>
      <c r="E29" s="1" t="s">
        <v>62</v>
      </c>
      <c r="F29" s="1" t="s">
        <v>63</v>
      </c>
      <c r="H29" s="1" t="n">
        <v>1</v>
      </c>
      <c r="I29" s="1" t="n">
        <v>15</v>
      </c>
      <c r="J29" s="1" t="n">
        <v>15</v>
      </c>
      <c r="K29" s="1" t="n">
        <v>0</v>
      </c>
      <c r="L29" s="1" t="s">
        <v>29</v>
      </c>
      <c r="M29" s="1" t="n">
        <v>0</v>
      </c>
      <c r="O29" s="1" t="n">
        <v>0</v>
      </c>
      <c r="P29" s="1" t="n">
        <f aca="false">IF(AND(L29="executa",K29=0,J29&gt;0),1,0)</f>
        <v>1</v>
      </c>
    </row>
    <row r="30" customFormat="false" ht="15" hidden="false" customHeight="true" outlineLevel="0" collapsed="false">
      <c r="A30" s="1" t="s">
        <v>23</v>
      </c>
      <c r="B30" s="1" t="s">
        <v>24</v>
      </c>
      <c r="C30" s="1" t="s">
        <v>25</v>
      </c>
      <c r="D30" s="1" t="s">
        <v>36</v>
      </c>
      <c r="E30" s="1" t="s">
        <v>62</v>
      </c>
      <c r="F30" s="1" t="s">
        <v>64</v>
      </c>
      <c r="H30" s="1" t="n">
        <v>1</v>
      </c>
      <c r="I30" s="1" t="n">
        <v>4</v>
      </c>
      <c r="J30" s="1" t="n">
        <v>4</v>
      </c>
      <c r="K30" s="1" t="n">
        <v>0</v>
      </c>
      <c r="L30" s="1" t="s">
        <v>29</v>
      </c>
      <c r="M30" s="1" t="n">
        <v>0</v>
      </c>
      <c r="O30" s="1" t="n">
        <v>0</v>
      </c>
      <c r="P30" s="1" t="n">
        <f aca="false">IF(AND(L30="executa",K30=0,J30&gt;0),1,0)</f>
        <v>1</v>
      </c>
    </row>
    <row r="31" customFormat="false" ht="15" hidden="false" customHeight="true" outlineLevel="0" collapsed="false">
      <c r="A31" s="1" t="s">
        <v>23</v>
      </c>
      <c r="B31" s="1" t="s">
        <v>24</v>
      </c>
      <c r="C31" s="1" t="s">
        <v>25</v>
      </c>
      <c r="D31" s="1" t="s">
        <v>44</v>
      </c>
      <c r="E31" s="1" t="s">
        <v>62</v>
      </c>
      <c r="F31" s="1" t="s">
        <v>65</v>
      </c>
      <c r="H31" s="1" t="n">
        <v>1</v>
      </c>
      <c r="I31" s="1" t="n">
        <v>13</v>
      </c>
      <c r="J31" s="1" t="n">
        <v>13</v>
      </c>
      <c r="K31" s="1" t="n">
        <v>0</v>
      </c>
      <c r="L31" s="1" t="s">
        <v>29</v>
      </c>
      <c r="M31" s="1" t="n">
        <v>0</v>
      </c>
      <c r="O31" s="1" t="n">
        <v>0</v>
      </c>
      <c r="P31" s="1" t="n">
        <f aca="false">IF(AND(L31="executa",K31=0,J31&gt;0),1,0)</f>
        <v>1</v>
      </c>
    </row>
    <row r="32" customFormat="false" ht="15" hidden="false" customHeight="true" outlineLevel="0" collapsed="false">
      <c r="A32" s="1" t="s">
        <v>23</v>
      </c>
      <c r="B32" s="1" t="s">
        <v>24</v>
      </c>
      <c r="C32" s="1" t="s">
        <v>66</v>
      </c>
      <c r="D32" s="1" t="s">
        <v>26</v>
      </c>
      <c r="E32" s="1" t="s">
        <v>27</v>
      </c>
      <c r="F32" s="1" t="s">
        <v>28</v>
      </c>
      <c r="H32" s="1" t="n">
        <v>1</v>
      </c>
      <c r="I32" s="1" t="n">
        <v>11</v>
      </c>
      <c r="J32" s="1" t="n">
        <v>11</v>
      </c>
      <c r="K32" s="1" t="n">
        <v>0</v>
      </c>
      <c r="L32" s="1" t="s">
        <v>29</v>
      </c>
      <c r="M32" s="1" t="n">
        <v>0</v>
      </c>
      <c r="O32" s="1" t="n">
        <v>0</v>
      </c>
      <c r="P32" s="1" t="n">
        <f aca="false">IF(AND(L32="executa",K32=0,J32&gt;0),1,0)</f>
        <v>1</v>
      </c>
    </row>
    <row r="33" customFormat="false" ht="15" hidden="false" customHeight="true" outlineLevel="0" collapsed="false">
      <c r="A33" s="1" t="s">
        <v>23</v>
      </c>
      <c r="B33" s="1" t="s">
        <v>24</v>
      </c>
      <c r="C33" s="1" t="s">
        <v>66</v>
      </c>
      <c r="D33" s="1" t="s">
        <v>26</v>
      </c>
      <c r="E33" s="1" t="s">
        <v>27</v>
      </c>
      <c r="F33" s="1" t="s">
        <v>30</v>
      </c>
      <c r="H33" s="1" t="n">
        <v>1</v>
      </c>
      <c r="I33" s="1" t="n">
        <v>13</v>
      </c>
      <c r="J33" s="1" t="n">
        <v>13</v>
      </c>
      <c r="K33" s="1" t="n">
        <v>0</v>
      </c>
      <c r="L33" s="1" t="s">
        <v>29</v>
      </c>
      <c r="M33" s="1" t="n">
        <v>1</v>
      </c>
      <c r="O33" s="1" t="n">
        <v>0</v>
      </c>
      <c r="P33" s="1" t="n">
        <f aca="false">IF(AND(L33="executa",K33=0,J33&gt;0),1,0)</f>
        <v>1</v>
      </c>
    </row>
    <row r="34" customFormat="false" ht="15" hidden="false" customHeight="true" outlineLevel="0" collapsed="false">
      <c r="A34" s="1" t="s">
        <v>23</v>
      </c>
      <c r="B34" s="1" t="s">
        <v>24</v>
      </c>
      <c r="C34" s="1" t="s">
        <v>66</v>
      </c>
      <c r="D34" s="1" t="s">
        <v>26</v>
      </c>
      <c r="E34" s="1" t="s">
        <v>27</v>
      </c>
      <c r="F34" s="1" t="s">
        <v>31</v>
      </c>
      <c r="H34" s="1" t="n">
        <v>1</v>
      </c>
      <c r="I34" s="1" t="n">
        <v>12</v>
      </c>
      <c r="J34" s="1" t="n">
        <v>12</v>
      </c>
      <c r="K34" s="1" t="n">
        <v>0</v>
      </c>
      <c r="L34" s="1" t="s">
        <v>29</v>
      </c>
      <c r="M34" s="1" t="n">
        <v>0</v>
      </c>
      <c r="O34" s="1" t="n">
        <v>0</v>
      </c>
      <c r="P34" s="1" t="n">
        <f aca="false">IF(AND(L34="executa",K34=0,J34&gt;0),1,0)</f>
        <v>1</v>
      </c>
    </row>
    <row r="35" customFormat="false" ht="15" hidden="false" customHeight="true" outlineLevel="0" collapsed="false">
      <c r="A35" s="1" t="s">
        <v>23</v>
      </c>
      <c r="B35" s="1" t="s">
        <v>24</v>
      </c>
      <c r="C35" s="1" t="s">
        <v>66</v>
      </c>
      <c r="D35" s="1" t="s">
        <v>26</v>
      </c>
      <c r="E35" s="1" t="s">
        <v>27</v>
      </c>
      <c r="F35" s="1" t="s">
        <v>32</v>
      </c>
      <c r="H35" s="1" t="n">
        <v>1</v>
      </c>
      <c r="I35" s="1" t="n">
        <v>15</v>
      </c>
      <c r="J35" s="1" t="n">
        <v>15</v>
      </c>
      <c r="K35" s="1" t="n">
        <v>0</v>
      </c>
      <c r="L35" s="1" t="s">
        <v>29</v>
      </c>
      <c r="M35" s="1" t="n">
        <v>0</v>
      </c>
      <c r="O35" s="1" t="n">
        <v>0</v>
      </c>
      <c r="P35" s="1" t="n">
        <f aca="false">IF(AND(L35="executa",K35=0,J35&gt;0),1,0)</f>
        <v>1</v>
      </c>
    </row>
    <row r="36" customFormat="false" ht="15" hidden="false" customHeight="true" outlineLevel="0" collapsed="false">
      <c r="A36" s="1" t="s">
        <v>23</v>
      </c>
      <c r="B36" s="1" t="s">
        <v>24</v>
      </c>
      <c r="C36" s="1" t="s">
        <v>66</v>
      </c>
      <c r="D36" s="1" t="s">
        <v>26</v>
      </c>
      <c r="E36" s="1" t="s">
        <v>27</v>
      </c>
      <c r="F36" s="1" t="s">
        <v>33</v>
      </c>
      <c r="H36" s="1" t="n">
        <v>1</v>
      </c>
      <c r="I36" s="1" t="n">
        <v>11</v>
      </c>
      <c r="J36" s="1" t="n">
        <v>11</v>
      </c>
      <c r="K36" s="1" t="n">
        <v>0</v>
      </c>
      <c r="L36" s="1" t="s">
        <v>29</v>
      </c>
      <c r="M36" s="1" t="n">
        <v>0</v>
      </c>
      <c r="O36" s="1" t="n">
        <v>0</v>
      </c>
      <c r="P36" s="1" t="n">
        <f aca="false">IF(AND(L36="executa",K36=0,J36&gt;0),1,0)</f>
        <v>1</v>
      </c>
    </row>
    <row r="37" customFormat="false" ht="15" hidden="false" customHeight="true" outlineLevel="0" collapsed="false">
      <c r="A37" s="1" t="s">
        <v>23</v>
      </c>
      <c r="B37" s="1" t="s">
        <v>24</v>
      </c>
      <c r="C37" s="1" t="s">
        <v>66</v>
      </c>
      <c r="D37" s="1" t="s">
        <v>26</v>
      </c>
      <c r="E37" s="1" t="s">
        <v>27</v>
      </c>
      <c r="F37" s="1" t="s">
        <v>34</v>
      </c>
      <c r="H37" s="1" t="n">
        <v>1</v>
      </c>
      <c r="I37" s="1" t="n">
        <v>16</v>
      </c>
      <c r="J37" s="1" t="n">
        <v>16</v>
      </c>
      <c r="K37" s="1" t="n">
        <v>0</v>
      </c>
      <c r="L37" s="1" t="s">
        <v>29</v>
      </c>
      <c r="M37" s="1" t="n">
        <v>0</v>
      </c>
      <c r="O37" s="1" t="n">
        <v>0</v>
      </c>
      <c r="P37" s="1" t="n">
        <f aca="false">IF(AND(L37="executa",K37=0,J37&gt;0),1,0)</f>
        <v>1</v>
      </c>
    </row>
    <row r="38" customFormat="false" ht="15" hidden="false" customHeight="true" outlineLevel="0" collapsed="false">
      <c r="A38" s="1" t="s">
        <v>23</v>
      </c>
      <c r="B38" s="1" t="s">
        <v>24</v>
      </c>
      <c r="C38" s="1" t="s">
        <v>66</v>
      </c>
      <c r="D38" s="1" t="s">
        <v>26</v>
      </c>
      <c r="E38" s="1" t="s">
        <v>27</v>
      </c>
      <c r="F38" s="1" t="s">
        <v>35</v>
      </c>
      <c r="H38" s="1" t="n">
        <v>1</v>
      </c>
      <c r="I38" s="1" t="n">
        <v>19</v>
      </c>
      <c r="J38" s="1" t="n">
        <v>19</v>
      </c>
      <c r="K38" s="1" t="n">
        <v>0</v>
      </c>
      <c r="L38" s="1" t="s">
        <v>29</v>
      </c>
      <c r="M38" s="1" t="n">
        <v>0</v>
      </c>
      <c r="O38" s="1" t="n">
        <v>0</v>
      </c>
      <c r="P38" s="1" t="n">
        <f aca="false">IF(AND(L38="executa",K38=0,J38&gt;0),1,0)</f>
        <v>1</v>
      </c>
    </row>
    <row r="39" customFormat="false" ht="15" hidden="false" customHeight="true" outlineLevel="0" collapsed="false">
      <c r="A39" s="1" t="s">
        <v>23</v>
      </c>
      <c r="B39" s="1" t="s">
        <v>24</v>
      </c>
      <c r="C39" s="1" t="s">
        <v>66</v>
      </c>
      <c r="D39" s="1" t="s">
        <v>36</v>
      </c>
      <c r="E39" s="1" t="s">
        <v>27</v>
      </c>
      <c r="F39" s="1" t="s">
        <v>37</v>
      </c>
      <c r="H39" s="1" t="n">
        <v>1</v>
      </c>
      <c r="I39" s="1" t="n">
        <v>7</v>
      </c>
      <c r="J39" s="1" t="n">
        <v>7</v>
      </c>
      <c r="K39" s="1" t="n">
        <v>0</v>
      </c>
      <c r="L39" s="1" t="s">
        <v>29</v>
      </c>
      <c r="M39" s="1" t="n">
        <v>0</v>
      </c>
      <c r="O39" s="1" t="n">
        <v>0</v>
      </c>
      <c r="P39" s="1" t="n">
        <f aca="false">IF(AND(L39="executa",K39=0,J39&gt;0),1,0)</f>
        <v>1</v>
      </c>
    </row>
    <row r="40" customFormat="false" ht="15" hidden="false" customHeight="true" outlineLevel="0" collapsed="false">
      <c r="A40" s="1" t="s">
        <v>23</v>
      </c>
      <c r="B40" s="1" t="s">
        <v>24</v>
      </c>
      <c r="C40" s="1" t="s">
        <v>66</v>
      </c>
      <c r="D40" s="1" t="s">
        <v>36</v>
      </c>
      <c r="E40" s="1" t="s">
        <v>27</v>
      </c>
      <c r="F40" s="1" t="s">
        <v>38</v>
      </c>
      <c r="H40" s="1" t="n">
        <v>1</v>
      </c>
      <c r="I40" s="1" t="n">
        <v>6</v>
      </c>
      <c r="J40" s="1" t="n">
        <v>6</v>
      </c>
      <c r="K40" s="1" t="n">
        <v>0</v>
      </c>
      <c r="L40" s="1" t="s">
        <v>29</v>
      </c>
      <c r="M40" s="1" t="n">
        <v>0</v>
      </c>
      <c r="O40" s="1" t="n">
        <v>0</v>
      </c>
      <c r="P40" s="1" t="n">
        <f aca="false">IF(AND(L40="executa",K40=0,J40&gt;0),1,0)</f>
        <v>1</v>
      </c>
    </row>
    <row r="41" customFormat="false" ht="15" hidden="false" customHeight="true" outlineLevel="0" collapsed="false">
      <c r="A41" s="1" t="s">
        <v>23</v>
      </c>
      <c r="B41" s="1" t="s">
        <v>24</v>
      </c>
      <c r="C41" s="1" t="s">
        <v>66</v>
      </c>
      <c r="D41" s="1" t="s">
        <v>36</v>
      </c>
      <c r="E41" s="1" t="s">
        <v>27</v>
      </c>
      <c r="F41" s="1" t="s">
        <v>39</v>
      </c>
      <c r="H41" s="1" t="n">
        <v>1</v>
      </c>
      <c r="I41" s="1" t="n">
        <v>8</v>
      </c>
      <c r="J41" s="1" t="n">
        <v>8</v>
      </c>
      <c r="K41" s="1" t="n">
        <v>0</v>
      </c>
      <c r="L41" s="1" t="s">
        <v>29</v>
      </c>
      <c r="M41" s="1" t="n">
        <v>0</v>
      </c>
      <c r="O41" s="1" t="n">
        <v>0</v>
      </c>
      <c r="P41" s="1" t="n">
        <f aca="false">IF(AND(L41="executa",K41=0,J41&gt;0),1,0)</f>
        <v>1</v>
      </c>
    </row>
    <row r="42" customFormat="false" ht="15" hidden="false" customHeight="true" outlineLevel="0" collapsed="false">
      <c r="A42" s="1" t="s">
        <v>23</v>
      </c>
      <c r="B42" s="1" t="s">
        <v>24</v>
      </c>
      <c r="C42" s="1" t="s">
        <v>66</v>
      </c>
      <c r="D42" s="1" t="s">
        <v>36</v>
      </c>
      <c r="E42" s="1" t="s">
        <v>27</v>
      </c>
      <c r="F42" s="1" t="s">
        <v>40</v>
      </c>
      <c r="H42" s="1" t="n">
        <v>1</v>
      </c>
      <c r="I42" s="1" t="n">
        <v>8</v>
      </c>
      <c r="J42" s="1" t="n">
        <v>8</v>
      </c>
      <c r="K42" s="1" t="n">
        <v>0</v>
      </c>
      <c r="L42" s="1" t="s">
        <v>29</v>
      </c>
      <c r="M42" s="1" t="n">
        <v>0</v>
      </c>
      <c r="O42" s="1" t="n">
        <v>0</v>
      </c>
      <c r="P42" s="1" t="n">
        <f aca="false">IF(AND(L42="executa",K42=0,J42&gt;0),1,0)</f>
        <v>1</v>
      </c>
    </row>
    <row r="43" customFormat="false" ht="15" hidden="false" customHeight="true" outlineLevel="0" collapsed="false">
      <c r="A43" s="1" t="s">
        <v>23</v>
      </c>
      <c r="B43" s="1" t="s">
        <v>24</v>
      </c>
      <c r="C43" s="1" t="s">
        <v>66</v>
      </c>
      <c r="D43" s="1" t="s">
        <v>36</v>
      </c>
      <c r="E43" s="1" t="s">
        <v>27</v>
      </c>
      <c r="F43" s="1" t="s">
        <v>41</v>
      </c>
      <c r="H43" s="1" t="n">
        <v>1</v>
      </c>
      <c r="I43" s="1" t="n">
        <v>8</v>
      </c>
      <c r="J43" s="1" t="n">
        <v>8</v>
      </c>
      <c r="K43" s="1" t="n">
        <v>0</v>
      </c>
      <c r="L43" s="1" t="s">
        <v>29</v>
      </c>
      <c r="M43" s="1" t="n">
        <v>0</v>
      </c>
      <c r="O43" s="1" t="n">
        <v>0</v>
      </c>
      <c r="P43" s="1" t="n">
        <f aca="false">IF(AND(L43="executa",K43=0,J43&gt;0),1,0)</f>
        <v>1</v>
      </c>
    </row>
    <row r="44" customFormat="false" ht="15" hidden="false" customHeight="true" outlineLevel="0" collapsed="false">
      <c r="A44" s="1" t="s">
        <v>23</v>
      </c>
      <c r="B44" s="1" t="s">
        <v>24</v>
      </c>
      <c r="C44" s="1" t="s">
        <v>66</v>
      </c>
      <c r="D44" s="1" t="s">
        <v>36</v>
      </c>
      <c r="E44" s="1" t="s">
        <v>27</v>
      </c>
      <c r="F44" s="1" t="s">
        <v>42</v>
      </c>
      <c r="H44" s="1" t="n">
        <v>1</v>
      </c>
      <c r="I44" s="1" t="n">
        <v>7</v>
      </c>
      <c r="J44" s="1" t="n">
        <v>7</v>
      </c>
      <c r="K44" s="1" t="n">
        <v>0</v>
      </c>
      <c r="L44" s="1" t="s">
        <v>29</v>
      </c>
      <c r="M44" s="1" t="n">
        <v>0</v>
      </c>
      <c r="O44" s="1" t="n">
        <v>0</v>
      </c>
      <c r="P44" s="1" t="n">
        <f aca="false">IF(AND(L44="executa",K44=0,J44&gt;0),1,0)</f>
        <v>1</v>
      </c>
    </row>
    <row r="45" customFormat="false" ht="15" hidden="false" customHeight="true" outlineLevel="0" collapsed="false">
      <c r="A45" s="1" t="s">
        <v>23</v>
      </c>
      <c r="B45" s="1" t="s">
        <v>24</v>
      </c>
      <c r="C45" s="1" t="s">
        <v>66</v>
      </c>
      <c r="D45" s="1" t="s">
        <v>36</v>
      </c>
      <c r="E45" s="1" t="s">
        <v>27</v>
      </c>
      <c r="F45" s="1" t="s">
        <v>43</v>
      </c>
      <c r="H45" s="1" t="n">
        <v>1</v>
      </c>
      <c r="I45" s="1" t="n">
        <v>9</v>
      </c>
      <c r="J45" s="1" t="n">
        <v>9</v>
      </c>
      <c r="K45" s="1" t="n">
        <v>0</v>
      </c>
      <c r="L45" s="1" t="s">
        <v>29</v>
      </c>
      <c r="M45" s="1" t="n">
        <v>0</v>
      </c>
      <c r="O45" s="1" t="n">
        <v>0</v>
      </c>
      <c r="P45" s="1" t="n">
        <f aca="false">IF(AND(L45="executa",K45=0,J45&gt;0),1,0)</f>
        <v>1</v>
      </c>
    </row>
    <row r="46" customFormat="false" ht="15" hidden="false" customHeight="true" outlineLevel="0" collapsed="false">
      <c r="A46" s="1" t="s">
        <v>23</v>
      </c>
      <c r="B46" s="1" t="s">
        <v>24</v>
      </c>
      <c r="C46" s="1" t="s">
        <v>66</v>
      </c>
      <c r="D46" s="1" t="s">
        <v>44</v>
      </c>
      <c r="E46" s="1" t="s">
        <v>27</v>
      </c>
      <c r="F46" s="1" t="s">
        <v>45</v>
      </c>
      <c r="H46" s="1" t="n">
        <v>1</v>
      </c>
      <c r="I46" s="1" t="n">
        <v>13</v>
      </c>
      <c r="J46" s="1" t="n">
        <v>13</v>
      </c>
      <c r="K46" s="1" t="n">
        <v>0</v>
      </c>
      <c r="L46" s="1" t="s">
        <v>29</v>
      </c>
      <c r="M46" s="1" t="n">
        <v>0</v>
      </c>
      <c r="O46" s="1" t="n">
        <v>0</v>
      </c>
      <c r="P46" s="1" t="n">
        <f aca="false">IF(AND(L46="executa",K46=0,J46&gt;0),1,0)</f>
        <v>1</v>
      </c>
    </row>
    <row r="47" customFormat="false" ht="15" hidden="false" customHeight="true" outlineLevel="0" collapsed="false">
      <c r="A47" s="1" t="s">
        <v>23</v>
      </c>
      <c r="B47" s="1" t="s">
        <v>24</v>
      </c>
      <c r="C47" s="1" t="s">
        <v>66</v>
      </c>
      <c r="D47" s="1" t="s">
        <v>44</v>
      </c>
      <c r="E47" s="1" t="s">
        <v>27</v>
      </c>
      <c r="F47" s="1" t="s">
        <v>46</v>
      </c>
      <c r="H47" s="1" t="n">
        <v>1</v>
      </c>
      <c r="I47" s="1" t="n">
        <v>13</v>
      </c>
      <c r="J47" s="1" t="n">
        <v>13</v>
      </c>
      <c r="K47" s="1" t="n">
        <v>0</v>
      </c>
      <c r="L47" s="1" t="s">
        <v>29</v>
      </c>
      <c r="M47" s="1" t="n">
        <v>1</v>
      </c>
      <c r="O47" s="1" t="n">
        <v>0</v>
      </c>
      <c r="P47" s="1" t="n">
        <f aca="false">IF(AND(L47="executa",K47=0,J47&gt;0),1,0)</f>
        <v>1</v>
      </c>
    </row>
    <row r="48" customFormat="false" ht="15" hidden="false" customHeight="true" outlineLevel="0" collapsed="false">
      <c r="A48" s="1" t="s">
        <v>23</v>
      </c>
      <c r="B48" s="1" t="s">
        <v>24</v>
      </c>
      <c r="C48" s="1" t="s">
        <v>66</v>
      </c>
      <c r="D48" s="1" t="s">
        <v>44</v>
      </c>
      <c r="E48" s="1" t="s">
        <v>27</v>
      </c>
      <c r="F48" s="1" t="s">
        <v>47</v>
      </c>
      <c r="H48" s="1" t="n">
        <v>1</v>
      </c>
      <c r="I48" s="1" t="n">
        <v>12</v>
      </c>
      <c r="J48" s="1" t="n">
        <v>12</v>
      </c>
      <c r="K48" s="1" t="n">
        <v>0</v>
      </c>
      <c r="L48" s="1" t="s">
        <v>29</v>
      </c>
      <c r="M48" s="1" t="n">
        <v>0</v>
      </c>
      <c r="O48" s="1" t="n">
        <v>0</v>
      </c>
      <c r="P48" s="1" t="n">
        <f aca="false">IF(AND(L48="executa",K48=0,J48&gt;0),1,0)</f>
        <v>1</v>
      </c>
    </row>
    <row r="49" customFormat="false" ht="15" hidden="false" customHeight="true" outlineLevel="0" collapsed="false">
      <c r="A49" s="1" t="s">
        <v>23</v>
      </c>
      <c r="B49" s="1" t="s">
        <v>24</v>
      </c>
      <c r="C49" s="1" t="s">
        <v>66</v>
      </c>
      <c r="D49" s="1" t="s">
        <v>44</v>
      </c>
      <c r="E49" s="1" t="s">
        <v>27</v>
      </c>
      <c r="F49" s="1" t="s">
        <v>48</v>
      </c>
      <c r="H49" s="1" t="n">
        <v>1</v>
      </c>
      <c r="I49" s="1" t="n">
        <v>26</v>
      </c>
      <c r="J49" s="1" t="n">
        <v>26</v>
      </c>
      <c r="K49" s="1" t="n">
        <v>0</v>
      </c>
      <c r="L49" s="1" t="s">
        <v>29</v>
      </c>
      <c r="M49" s="1" t="n">
        <v>0</v>
      </c>
      <c r="O49" s="1" t="n">
        <v>0</v>
      </c>
      <c r="P49" s="1" t="n">
        <f aca="false">IF(AND(L49="executa",K49=0,J49&gt;0),1,0)</f>
        <v>1</v>
      </c>
    </row>
    <row r="50" customFormat="false" ht="15" hidden="false" customHeight="true" outlineLevel="0" collapsed="false">
      <c r="A50" s="1" t="s">
        <v>23</v>
      </c>
      <c r="B50" s="1" t="s">
        <v>24</v>
      </c>
      <c r="C50" s="1" t="s">
        <v>66</v>
      </c>
      <c r="D50" s="1" t="s">
        <v>44</v>
      </c>
      <c r="E50" s="1" t="s">
        <v>27</v>
      </c>
      <c r="F50" s="1" t="s">
        <v>49</v>
      </c>
      <c r="H50" s="1" t="n">
        <v>1</v>
      </c>
      <c r="I50" s="1" t="n">
        <v>11</v>
      </c>
      <c r="J50" s="1" t="n">
        <v>11</v>
      </c>
      <c r="K50" s="1" t="n">
        <v>0</v>
      </c>
      <c r="L50" s="1" t="s">
        <v>29</v>
      </c>
      <c r="M50" s="1" t="n">
        <v>0</v>
      </c>
      <c r="O50" s="1" t="n">
        <v>0</v>
      </c>
      <c r="P50" s="1" t="n">
        <f aca="false">IF(AND(L50="executa",K50=0,J50&gt;0),1,0)</f>
        <v>1</v>
      </c>
    </row>
    <row r="51" customFormat="false" ht="15" hidden="false" customHeight="true" outlineLevel="0" collapsed="false">
      <c r="A51" s="1" t="s">
        <v>23</v>
      </c>
      <c r="B51" s="1" t="s">
        <v>24</v>
      </c>
      <c r="C51" s="1" t="s">
        <v>66</v>
      </c>
      <c r="D51" s="1" t="s">
        <v>44</v>
      </c>
      <c r="E51" s="1" t="s">
        <v>27</v>
      </c>
      <c r="F51" s="1" t="s">
        <v>50</v>
      </c>
      <c r="H51" s="1" t="n">
        <v>1</v>
      </c>
      <c r="I51" s="1" t="n">
        <v>16</v>
      </c>
      <c r="J51" s="1" t="n">
        <v>16</v>
      </c>
      <c r="K51" s="1" t="n">
        <v>0</v>
      </c>
      <c r="L51" s="1" t="s">
        <v>29</v>
      </c>
      <c r="M51" s="1" t="n">
        <v>0</v>
      </c>
      <c r="O51" s="1" t="n">
        <v>0</v>
      </c>
      <c r="P51" s="1" t="n">
        <f aca="false">IF(AND(L51="executa",K51=0,J51&gt;0),1,0)</f>
        <v>1</v>
      </c>
    </row>
    <row r="52" customFormat="false" ht="15" hidden="false" customHeight="true" outlineLevel="0" collapsed="false">
      <c r="A52" s="1" t="s">
        <v>23</v>
      </c>
      <c r="B52" s="1" t="s">
        <v>24</v>
      </c>
      <c r="C52" s="1" t="s">
        <v>66</v>
      </c>
      <c r="D52" s="1" t="s">
        <v>44</v>
      </c>
      <c r="E52" s="1" t="s">
        <v>27</v>
      </c>
      <c r="F52" s="1" t="s">
        <v>51</v>
      </c>
      <c r="H52" s="1" t="n">
        <v>1</v>
      </c>
      <c r="I52" s="1" t="n">
        <v>23</v>
      </c>
      <c r="J52" s="1" t="n">
        <v>23</v>
      </c>
      <c r="K52" s="1" t="n">
        <v>0</v>
      </c>
      <c r="L52" s="1" t="s">
        <v>29</v>
      </c>
      <c r="M52" s="1" t="n">
        <v>0</v>
      </c>
      <c r="O52" s="1" t="n">
        <v>0</v>
      </c>
      <c r="P52" s="1" t="n">
        <f aca="false">IF(AND(L52="executa",K52=0,J52&gt;0),1,0)</f>
        <v>1</v>
      </c>
    </row>
    <row r="53" customFormat="false" ht="15" hidden="false" customHeight="true" outlineLevel="0" collapsed="false">
      <c r="A53" s="1" t="s">
        <v>23</v>
      </c>
      <c r="B53" s="1" t="s">
        <v>24</v>
      </c>
      <c r="C53" s="1" t="s">
        <v>66</v>
      </c>
      <c r="D53" s="1" t="s">
        <v>26</v>
      </c>
      <c r="E53" s="1" t="s">
        <v>13</v>
      </c>
      <c r="F53" s="1" t="s">
        <v>52</v>
      </c>
      <c r="G53" s="1" t="s">
        <v>53</v>
      </c>
      <c r="H53" s="1" t="n">
        <v>1</v>
      </c>
      <c r="I53" s="1" t="n">
        <v>10</v>
      </c>
      <c r="J53" s="1" t="n">
        <v>10</v>
      </c>
      <c r="K53" s="1" t="n">
        <v>0</v>
      </c>
      <c r="L53" s="1" t="s">
        <v>29</v>
      </c>
      <c r="M53" s="1" t="n">
        <v>0</v>
      </c>
      <c r="N53" s="1" t="s">
        <v>54</v>
      </c>
      <c r="O53" s="1" t="n">
        <v>0</v>
      </c>
      <c r="P53" s="1" t="n">
        <f aca="false">IF(AND(L53="executa",K53=0,J53&gt;0),1,0)</f>
        <v>1</v>
      </c>
    </row>
    <row r="54" customFormat="false" ht="15" hidden="false" customHeight="true" outlineLevel="0" collapsed="false">
      <c r="A54" s="1" t="s">
        <v>23</v>
      </c>
      <c r="B54" s="1" t="s">
        <v>24</v>
      </c>
      <c r="C54" s="1" t="s">
        <v>66</v>
      </c>
      <c r="D54" s="1" t="s">
        <v>26</v>
      </c>
      <c r="E54" s="1" t="s">
        <v>13</v>
      </c>
      <c r="F54" s="1" t="s">
        <v>55</v>
      </c>
      <c r="G54" s="1" t="s">
        <v>56</v>
      </c>
      <c r="H54" s="1" t="n">
        <v>1</v>
      </c>
      <c r="I54" s="1" t="n">
        <v>8</v>
      </c>
      <c r="J54" s="1" t="n">
        <v>8</v>
      </c>
      <c r="K54" s="1" t="n">
        <v>0</v>
      </c>
      <c r="L54" s="1" t="s">
        <v>29</v>
      </c>
      <c r="M54" s="1" t="n">
        <v>0</v>
      </c>
      <c r="N54" s="1" t="s">
        <v>54</v>
      </c>
      <c r="O54" s="1" t="n">
        <v>0</v>
      </c>
      <c r="P54" s="1" t="n">
        <f aca="false">IF(AND(L54="executa",K54=0,J54&gt;0),1,0)</f>
        <v>1</v>
      </c>
    </row>
    <row r="55" customFormat="false" ht="15" hidden="false" customHeight="true" outlineLevel="0" collapsed="false">
      <c r="A55" s="1" t="s">
        <v>23</v>
      </c>
      <c r="B55" s="1" t="s">
        <v>24</v>
      </c>
      <c r="C55" s="1" t="s">
        <v>66</v>
      </c>
      <c r="D55" s="1" t="s">
        <v>36</v>
      </c>
      <c r="E55" s="1" t="s">
        <v>13</v>
      </c>
      <c r="F55" s="1" t="s">
        <v>57</v>
      </c>
      <c r="G55" s="1" t="s">
        <v>53</v>
      </c>
      <c r="H55" s="1" t="n">
        <v>1</v>
      </c>
      <c r="I55" s="1" t="n">
        <v>6</v>
      </c>
      <c r="J55" s="1" t="n">
        <v>6</v>
      </c>
      <c r="K55" s="1" t="n">
        <v>0</v>
      </c>
      <c r="L55" s="1" t="s">
        <v>29</v>
      </c>
      <c r="M55" s="1" t="n">
        <v>0</v>
      </c>
      <c r="N55" s="1" t="s">
        <v>67</v>
      </c>
      <c r="O55" s="1" t="n">
        <v>0</v>
      </c>
      <c r="P55" s="1" t="n">
        <f aca="false">IF(AND(L55="executa",K55=0,J55&gt;0),1,0)</f>
        <v>1</v>
      </c>
    </row>
    <row r="56" customFormat="false" ht="15" hidden="false" customHeight="true" outlineLevel="0" collapsed="false">
      <c r="A56" s="1" t="s">
        <v>23</v>
      </c>
      <c r="B56" s="1" t="s">
        <v>24</v>
      </c>
      <c r="C56" s="1" t="s">
        <v>66</v>
      </c>
      <c r="D56" s="1" t="s">
        <v>36</v>
      </c>
      <c r="E56" s="1" t="s">
        <v>13</v>
      </c>
      <c r="F56" s="1" t="s">
        <v>59</v>
      </c>
      <c r="G56" s="1" t="s">
        <v>56</v>
      </c>
      <c r="H56" s="1" t="n">
        <v>1</v>
      </c>
      <c r="I56" s="1" t="n">
        <v>5</v>
      </c>
      <c r="J56" s="1" t="n">
        <v>5</v>
      </c>
      <c r="K56" s="1" t="n">
        <v>0</v>
      </c>
      <c r="L56" s="1" t="s">
        <v>29</v>
      </c>
      <c r="M56" s="1" t="n">
        <v>0</v>
      </c>
      <c r="N56" s="1" t="s">
        <v>54</v>
      </c>
      <c r="O56" s="1" t="n">
        <v>0</v>
      </c>
      <c r="P56" s="1" t="n">
        <f aca="false">IF(AND(L56="executa",K56=0,J56&gt;0),1,0)</f>
        <v>1</v>
      </c>
    </row>
    <row r="57" customFormat="false" ht="15" hidden="false" customHeight="true" outlineLevel="0" collapsed="false">
      <c r="A57" s="1" t="s">
        <v>23</v>
      </c>
      <c r="B57" s="1" t="s">
        <v>24</v>
      </c>
      <c r="C57" s="1" t="s">
        <v>66</v>
      </c>
      <c r="D57" s="1" t="s">
        <v>44</v>
      </c>
      <c r="E57" s="1" t="s">
        <v>13</v>
      </c>
      <c r="F57" s="1" t="s">
        <v>60</v>
      </c>
      <c r="G57" s="1" t="s">
        <v>53</v>
      </c>
      <c r="H57" s="1" t="n">
        <v>1</v>
      </c>
      <c r="I57" s="1" t="n">
        <v>11</v>
      </c>
      <c r="J57" s="1" t="n">
        <v>11</v>
      </c>
      <c r="K57" s="1" t="n">
        <v>0</v>
      </c>
      <c r="L57" s="1" t="s">
        <v>29</v>
      </c>
      <c r="M57" s="1" t="n">
        <v>0</v>
      </c>
      <c r="N57" s="1" t="s">
        <v>54</v>
      </c>
      <c r="O57" s="1" t="n">
        <v>0</v>
      </c>
      <c r="P57" s="1" t="n">
        <f aca="false">IF(AND(L57="executa",K57=0,J57&gt;0),1,0)</f>
        <v>1</v>
      </c>
    </row>
    <row r="58" customFormat="false" ht="15" hidden="false" customHeight="true" outlineLevel="0" collapsed="false">
      <c r="A58" s="1" t="s">
        <v>23</v>
      </c>
      <c r="B58" s="1" t="s">
        <v>24</v>
      </c>
      <c r="C58" s="1" t="s">
        <v>66</v>
      </c>
      <c r="D58" s="1" t="s">
        <v>44</v>
      </c>
      <c r="E58" s="1" t="s">
        <v>13</v>
      </c>
      <c r="F58" s="1" t="s">
        <v>61</v>
      </c>
      <c r="G58" s="1" t="s">
        <v>56</v>
      </c>
      <c r="H58" s="1" t="n">
        <v>1</v>
      </c>
      <c r="I58" s="1" t="n">
        <v>7</v>
      </c>
      <c r="J58" s="1" t="n">
        <v>7</v>
      </c>
      <c r="K58" s="1" t="n">
        <v>0</v>
      </c>
      <c r="L58" s="1" t="s">
        <v>29</v>
      </c>
      <c r="M58" s="1" t="n">
        <v>0</v>
      </c>
      <c r="N58" s="1" t="s">
        <v>54</v>
      </c>
      <c r="O58" s="1" t="n">
        <v>0</v>
      </c>
      <c r="P58" s="1" t="n">
        <f aca="false">IF(AND(L58="executa",K58=0,J58&gt;0),1,0)</f>
        <v>1</v>
      </c>
    </row>
    <row r="59" customFormat="false" ht="15" hidden="false" customHeight="true" outlineLevel="0" collapsed="false">
      <c r="A59" s="1" t="s">
        <v>23</v>
      </c>
      <c r="B59" s="1" t="s">
        <v>24</v>
      </c>
      <c r="C59" s="1" t="s">
        <v>66</v>
      </c>
      <c r="D59" s="1" t="s">
        <v>26</v>
      </c>
      <c r="E59" s="1" t="s">
        <v>62</v>
      </c>
      <c r="F59" s="1" t="s">
        <v>63</v>
      </c>
      <c r="H59" s="1" t="n">
        <v>1</v>
      </c>
      <c r="I59" s="1" t="n">
        <v>9</v>
      </c>
      <c r="J59" s="1" t="n">
        <v>9</v>
      </c>
      <c r="K59" s="1" t="n">
        <v>0</v>
      </c>
      <c r="L59" s="1" t="s">
        <v>29</v>
      </c>
      <c r="M59" s="1" t="n">
        <v>0</v>
      </c>
      <c r="O59" s="1" t="n">
        <v>0</v>
      </c>
      <c r="P59" s="1" t="n">
        <f aca="false">IF(AND(L59="executa",K59=0,J59&gt;0),1,0)</f>
        <v>1</v>
      </c>
    </row>
    <row r="60" customFormat="false" ht="15" hidden="false" customHeight="true" outlineLevel="0" collapsed="false">
      <c r="A60" s="1" t="s">
        <v>23</v>
      </c>
      <c r="B60" s="1" t="s">
        <v>24</v>
      </c>
      <c r="C60" s="1" t="s">
        <v>66</v>
      </c>
      <c r="D60" s="1" t="s">
        <v>36</v>
      </c>
      <c r="E60" s="1" t="s">
        <v>62</v>
      </c>
      <c r="F60" s="1" t="s">
        <v>64</v>
      </c>
      <c r="H60" s="1" t="n">
        <v>1</v>
      </c>
      <c r="I60" s="1" t="n">
        <v>5</v>
      </c>
      <c r="J60" s="1" t="n">
        <v>5</v>
      </c>
      <c r="K60" s="1" t="n">
        <v>0</v>
      </c>
      <c r="L60" s="1" t="s">
        <v>29</v>
      </c>
      <c r="M60" s="1" t="n">
        <v>0</v>
      </c>
      <c r="O60" s="1" t="n">
        <v>0</v>
      </c>
      <c r="P60" s="1" t="n">
        <f aca="false">IF(AND(L60="executa",K60=0,J60&gt;0),1,0)</f>
        <v>1</v>
      </c>
    </row>
    <row r="61" customFormat="false" ht="15" hidden="false" customHeight="true" outlineLevel="0" collapsed="false">
      <c r="A61" s="1" t="s">
        <v>23</v>
      </c>
      <c r="B61" s="1" t="s">
        <v>24</v>
      </c>
      <c r="C61" s="1" t="s">
        <v>66</v>
      </c>
      <c r="D61" s="1" t="s">
        <v>44</v>
      </c>
      <c r="E61" s="1" t="s">
        <v>62</v>
      </c>
      <c r="F61" s="1" t="s">
        <v>65</v>
      </c>
      <c r="H61" s="1" t="n">
        <v>1</v>
      </c>
      <c r="I61" s="1" t="n">
        <v>10</v>
      </c>
      <c r="J61" s="1" t="n">
        <v>10</v>
      </c>
      <c r="K61" s="1" t="n">
        <v>0</v>
      </c>
      <c r="L61" s="1" t="s">
        <v>29</v>
      </c>
      <c r="M61" s="1" t="n">
        <v>0</v>
      </c>
      <c r="O61" s="1" t="n">
        <v>0</v>
      </c>
      <c r="P61" s="1" t="n">
        <f aca="false">IF(AND(L61="executa",K61=0,J61&gt;0),1,0)</f>
        <v>1</v>
      </c>
    </row>
    <row r="62" customFormat="false" ht="15" hidden="false" customHeight="true" outlineLevel="0" collapsed="false">
      <c r="A62" s="1" t="s">
        <v>23</v>
      </c>
      <c r="B62" s="1" t="s">
        <v>68</v>
      </c>
      <c r="C62" s="1" t="s">
        <v>25</v>
      </c>
      <c r="D62" s="1" t="s">
        <v>26</v>
      </c>
      <c r="E62" s="1" t="s">
        <v>27</v>
      </c>
      <c r="F62" s="1" t="s">
        <v>69</v>
      </c>
      <c r="H62" s="1" t="n">
        <v>0</v>
      </c>
      <c r="I62" s="1" t="n">
        <v>25</v>
      </c>
      <c r="J62" s="1" t="n">
        <v>0</v>
      </c>
      <c r="K62" s="1" t="n">
        <v>25</v>
      </c>
      <c r="L62" s="1" t="s">
        <v>70</v>
      </c>
      <c r="M62" s="1" t="n">
        <v>3</v>
      </c>
      <c r="O62" s="1" t="n">
        <v>0</v>
      </c>
      <c r="P62" s="1" t="n">
        <f aca="false">IF(AND(L62="executa",K62=0,J62&gt;0),1,0)</f>
        <v>0</v>
      </c>
    </row>
    <row r="63" customFormat="false" ht="15" hidden="false" customHeight="true" outlineLevel="0" collapsed="false">
      <c r="A63" s="1" t="s">
        <v>23</v>
      </c>
      <c r="B63" s="1" t="s">
        <v>68</v>
      </c>
      <c r="C63" s="1" t="s">
        <v>25</v>
      </c>
      <c r="D63" s="1" t="s">
        <v>26</v>
      </c>
      <c r="E63" s="1" t="s">
        <v>27</v>
      </c>
      <c r="F63" s="1" t="s">
        <v>71</v>
      </c>
      <c r="H63" s="1" t="n">
        <v>0</v>
      </c>
      <c r="I63" s="1" t="n">
        <v>18</v>
      </c>
      <c r="J63" s="1" t="n">
        <v>15</v>
      </c>
      <c r="K63" s="1" t="n">
        <v>3</v>
      </c>
      <c r="L63" s="1" t="s">
        <v>29</v>
      </c>
      <c r="M63" s="1" t="n">
        <v>3</v>
      </c>
      <c r="O63" s="1" t="n">
        <v>2</v>
      </c>
      <c r="P63" s="1" t="n">
        <f aca="false">IF(AND(L63="executa",K63=0,J63&gt;0),1,0)</f>
        <v>0</v>
      </c>
    </row>
    <row r="64" customFormat="false" ht="15" hidden="false" customHeight="true" outlineLevel="0" collapsed="false">
      <c r="A64" s="1" t="s">
        <v>23</v>
      </c>
      <c r="B64" s="1" t="s">
        <v>68</v>
      </c>
      <c r="C64" s="1" t="s">
        <v>25</v>
      </c>
      <c r="D64" s="1" t="s">
        <v>26</v>
      </c>
      <c r="E64" s="1" t="s">
        <v>27</v>
      </c>
      <c r="F64" s="1" t="s">
        <v>72</v>
      </c>
      <c r="H64" s="1" t="n">
        <v>1</v>
      </c>
      <c r="I64" s="1" t="n">
        <v>19</v>
      </c>
      <c r="J64" s="1" t="n">
        <v>19</v>
      </c>
      <c r="K64" s="1" t="n">
        <v>0</v>
      </c>
      <c r="L64" s="1" t="s">
        <v>29</v>
      </c>
      <c r="M64" s="1" t="n">
        <v>3</v>
      </c>
      <c r="O64" s="1" t="n">
        <v>0</v>
      </c>
      <c r="P64" s="1" t="n">
        <f aca="false">IF(AND(L64="executa",K64=0,J64&gt;0),1,0)</f>
        <v>1</v>
      </c>
    </row>
    <row r="65" customFormat="false" ht="15" hidden="false" customHeight="true" outlineLevel="0" collapsed="false">
      <c r="A65" s="1" t="s">
        <v>23</v>
      </c>
      <c r="B65" s="1" t="s">
        <v>68</v>
      </c>
      <c r="C65" s="1" t="s">
        <v>25</v>
      </c>
      <c r="D65" s="1" t="s">
        <v>36</v>
      </c>
      <c r="E65" s="1" t="s">
        <v>27</v>
      </c>
      <c r="F65" s="1" t="s">
        <v>73</v>
      </c>
      <c r="H65" s="1" t="n">
        <v>0</v>
      </c>
      <c r="I65" s="1" t="n">
        <v>24</v>
      </c>
      <c r="J65" s="1" t="n">
        <v>22</v>
      </c>
      <c r="K65" s="1" t="n">
        <v>2</v>
      </c>
      <c r="L65" s="1" t="s">
        <v>29</v>
      </c>
      <c r="M65" s="1" t="n">
        <v>3</v>
      </c>
      <c r="O65" s="1" t="n">
        <v>0</v>
      </c>
      <c r="P65" s="1" t="n">
        <f aca="false">IF(AND(L65="executa",K65=0,J65&gt;0),1,0)</f>
        <v>0</v>
      </c>
    </row>
    <row r="66" customFormat="false" ht="15" hidden="false" customHeight="true" outlineLevel="0" collapsed="false">
      <c r="A66" s="1" t="s">
        <v>23</v>
      </c>
      <c r="B66" s="1" t="s">
        <v>68</v>
      </c>
      <c r="C66" s="1" t="s">
        <v>25</v>
      </c>
      <c r="D66" s="1" t="s">
        <v>36</v>
      </c>
      <c r="E66" s="1" t="s">
        <v>27</v>
      </c>
      <c r="F66" s="1" t="s">
        <v>74</v>
      </c>
      <c r="H66" s="1" t="n">
        <v>1</v>
      </c>
      <c r="I66" s="1" t="n">
        <v>11</v>
      </c>
      <c r="J66" s="1" t="n">
        <v>6</v>
      </c>
      <c r="K66" s="1" t="n">
        <v>5</v>
      </c>
      <c r="L66" s="1" t="s">
        <v>29</v>
      </c>
      <c r="M66" s="1" t="n">
        <v>3</v>
      </c>
      <c r="O66" s="1" t="n">
        <v>0</v>
      </c>
      <c r="P66" s="1" t="n">
        <f aca="false">IF(AND(L66="executa",K66=0,J66&gt;0),1,0)</f>
        <v>0</v>
      </c>
    </row>
    <row r="67" customFormat="false" ht="15" hidden="false" customHeight="true" outlineLevel="0" collapsed="false">
      <c r="A67" s="1" t="s">
        <v>23</v>
      </c>
      <c r="B67" s="1" t="s">
        <v>68</v>
      </c>
      <c r="C67" s="1" t="s">
        <v>25</v>
      </c>
      <c r="D67" s="1" t="s">
        <v>36</v>
      </c>
      <c r="E67" s="1" t="s">
        <v>27</v>
      </c>
      <c r="F67" s="1" t="s">
        <v>75</v>
      </c>
      <c r="H67" s="1" t="n">
        <v>0</v>
      </c>
      <c r="I67" s="1" t="n">
        <v>13</v>
      </c>
      <c r="J67" s="1" t="n">
        <v>11</v>
      </c>
      <c r="K67" s="1" t="n">
        <v>2</v>
      </c>
      <c r="L67" s="1" t="s">
        <v>29</v>
      </c>
      <c r="M67" s="1" t="n">
        <v>3</v>
      </c>
      <c r="O67" s="1" t="n">
        <v>2</v>
      </c>
      <c r="P67" s="1" t="n">
        <f aca="false">IF(AND(L67="executa",K67=0,J67&gt;0),1,0)</f>
        <v>0</v>
      </c>
    </row>
    <row r="68" customFormat="false" ht="15" hidden="false" customHeight="true" outlineLevel="0" collapsed="false">
      <c r="A68" s="1" t="s">
        <v>23</v>
      </c>
      <c r="B68" s="1" t="s">
        <v>68</v>
      </c>
      <c r="C68" s="1" t="s">
        <v>25</v>
      </c>
      <c r="D68" s="1" t="s">
        <v>44</v>
      </c>
      <c r="E68" s="1" t="s">
        <v>27</v>
      </c>
      <c r="F68" s="1" t="s">
        <v>76</v>
      </c>
      <c r="H68" s="1" t="n">
        <v>0</v>
      </c>
      <c r="I68" s="1" t="n">
        <v>22</v>
      </c>
      <c r="J68" s="1" t="n">
        <v>21</v>
      </c>
      <c r="K68" s="1" t="n">
        <v>1</v>
      </c>
      <c r="L68" s="1" t="s">
        <v>29</v>
      </c>
      <c r="M68" s="1" t="n">
        <v>3</v>
      </c>
      <c r="O68" s="1" t="n">
        <v>0</v>
      </c>
      <c r="P68" s="1" t="n">
        <f aca="false">IF(AND(L68="executa",K68=0,J68&gt;0),1,0)</f>
        <v>0</v>
      </c>
    </row>
    <row r="69" customFormat="false" ht="15" hidden="false" customHeight="true" outlineLevel="0" collapsed="false">
      <c r="A69" s="1" t="s">
        <v>23</v>
      </c>
      <c r="B69" s="1" t="s">
        <v>68</v>
      </c>
      <c r="C69" s="1" t="s">
        <v>25</v>
      </c>
      <c r="D69" s="1" t="s">
        <v>44</v>
      </c>
      <c r="E69" s="1" t="s">
        <v>27</v>
      </c>
      <c r="F69" s="1" t="s">
        <v>77</v>
      </c>
      <c r="H69" s="1" t="n">
        <v>1</v>
      </c>
      <c r="I69" s="1" t="n">
        <v>12</v>
      </c>
      <c r="J69" s="1" t="n">
        <v>11</v>
      </c>
      <c r="K69" s="1" t="n">
        <v>1</v>
      </c>
      <c r="L69" s="1" t="s">
        <v>29</v>
      </c>
      <c r="M69" s="1" t="n">
        <v>2</v>
      </c>
      <c r="O69" s="1" t="n">
        <v>1</v>
      </c>
      <c r="P69" s="1" t="n">
        <f aca="false">IF(AND(L69="executa",K69=0,J69&gt;0),1,0)</f>
        <v>0</v>
      </c>
    </row>
    <row r="70" customFormat="false" ht="15" hidden="false" customHeight="true" outlineLevel="0" collapsed="false">
      <c r="A70" s="1" t="s">
        <v>23</v>
      </c>
      <c r="B70" s="1" t="s">
        <v>68</v>
      </c>
      <c r="C70" s="1" t="s">
        <v>25</v>
      </c>
      <c r="D70" s="1" t="s">
        <v>44</v>
      </c>
      <c r="E70" s="1" t="s">
        <v>27</v>
      </c>
      <c r="F70" s="1" t="s">
        <v>78</v>
      </c>
      <c r="H70" s="1" t="n">
        <v>0</v>
      </c>
      <c r="I70" s="1" t="n">
        <v>8</v>
      </c>
      <c r="J70" s="1" t="n">
        <v>8</v>
      </c>
      <c r="K70" s="1" t="n">
        <v>0</v>
      </c>
      <c r="L70" s="1" t="s">
        <v>29</v>
      </c>
      <c r="M70" s="1" t="n">
        <v>1</v>
      </c>
      <c r="O70" s="1" t="n">
        <v>0</v>
      </c>
      <c r="P70" s="1" t="n">
        <f aca="false">IF(AND(L70="executa",K70=0,J70&gt;0),1,0)</f>
        <v>1</v>
      </c>
    </row>
    <row r="71" customFormat="false" ht="15" hidden="false" customHeight="true" outlineLevel="0" collapsed="false">
      <c r="A71" s="1" t="s">
        <v>23</v>
      </c>
      <c r="B71" s="1" t="s">
        <v>68</v>
      </c>
      <c r="C71" s="1" t="s">
        <v>25</v>
      </c>
      <c r="D71" s="1" t="s">
        <v>26</v>
      </c>
      <c r="E71" s="1" t="s">
        <v>13</v>
      </c>
      <c r="F71" s="1" t="s">
        <v>79</v>
      </c>
      <c r="G71" s="1" t="s">
        <v>80</v>
      </c>
      <c r="H71" s="1" t="n">
        <v>1</v>
      </c>
      <c r="I71" s="1" t="n">
        <v>21</v>
      </c>
      <c r="J71" s="1" t="n">
        <v>20</v>
      </c>
      <c r="K71" s="1" t="n">
        <v>1</v>
      </c>
      <c r="L71" s="1" t="s">
        <v>29</v>
      </c>
      <c r="M71" s="1" t="n">
        <v>3</v>
      </c>
      <c r="N71" s="1" t="s">
        <v>81</v>
      </c>
      <c r="O71" s="1" t="n">
        <v>0</v>
      </c>
      <c r="P71" s="1" t="n">
        <f aca="false">IF(AND(L71="executa",K71=0,J71&gt;0),1,0)</f>
        <v>0</v>
      </c>
    </row>
    <row r="72" customFormat="false" ht="15" hidden="false" customHeight="true" outlineLevel="0" collapsed="false">
      <c r="A72" s="1" t="s">
        <v>23</v>
      </c>
      <c r="B72" s="1" t="s">
        <v>68</v>
      </c>
      <c r="C72" s="1" t="s">
        <v>25</v>
      </c>
      <c r="D72" s="1" t="s">
        <v>26</v>
      </c>
      <c r="E72" s="1" t="s">
        <v>13</v>
      </c>
      <c r="F72" s="1" t="s">
        <v>82</v>
      </c>
      <c r="G72" s="1" t="s">
        <v>83</v>
      </c>
      <c r="H72" s="1" t="n">
        <v>0</v>
      </c>
      <c r="I72" s="1" t="n">
        <v>21</v>
      </c>
      <c r="J72" s="1" t="n">
        <v>0</v>
      </c>
      <c r="K72" s="1" t="n">
        <v>20</v>
      </c>
      <c r="L72" s="1" t="s">
        <v>70</v>
      </c>
      <c r="M72" s="1" t="n">
        <v>3</v>
      </c>
      <c r="N72" s="1" t="s">
        <v>54</v>
      </c>
      <c r="O72" s="1" t="n">
        <v>0</v>
      </c>
      <c r="P72" s="1" t="n">
        <f aca="false">IF(AND(L72="executa",K72=0,J72&gt;0),1,0)</f>
        <v>0</v>
      </c>
    </row>
    <row r="73" customFormat="false" ht="15" hidden="false" customHeight="true" outlineLevel="0" collapsed="false">
      <c r="A73" s="1" t="s">
        <v>23</v>
      </c>
      <c r="B73" s="1" t="s">
        <v>68</v>
      </c>
      <c r="C73" s="1" t="s">
        <v>25</v>
      </c>
      <c r="D73" s="1" t="s">
        <v>36</v>
      </c>
      <c r="E73" s="1" t="s">
        <v>13</v>
      </c>
      <c r="F73" s="1" t="s">
        <v>84</v>
      </c>
      <c r="G73" s="1" t="s">
        <v>80</v>
      </c>
      <c r="H73" s="1" t="n">
        <v>0</v>
      </c>
      <c r="I73" s="1" t="n">
        <v>10</v>
      </c>
      <c r="J73" s="1" t="n">
        <v>0</v>
      </c>
      <c r="K73" s="1" t="n">
        <v>10</v>
      </c>
      <c r="L73" s="1" t="s">
        <v>70</v>
      </c>
      <c r="M73" s="1" t="n">
        <v>3</v>
      </c>
      <c r="N73" s="1" t="s">
        <v>81</v>
      </c>
      <c r="O73" s="1" t="n">
        <v>0</v>
      </c>
      <c r="P73" s="1" t="n">
        <f aca="false">IF(AND(L73="executa",K73=0,J73&gt;0),1,0)</f>
        <v>0</v>
      </c>
    </row>
    <row r="74" customFormat="false" ht="15" hidden="false" customHeight="true" outlineLevel="0" collapsed="false">
      <c r="A74" s="1" t="s">
        <v>23</v>
      </c>
      <c r="B74" s="1" t="s">
        <v>68</v>
      </c>
      <c r="C74" s="1" t="s">
        <v>25</v>
      </c>
      <c r="D74" s="1" t="s">
        <v>36</v>
      </c>
      <c r="E74" s="1" t="s">
        <v>13</v>
      </c>
      <c r="F74" s="1" t="s">
        <v>85</v>
      </c>
      <c r="G74" s="1" t="s">
        <v>83</v>
      </c>
      <c r="H74" s="1" t="n">
        <v>0</v>
      </c>
      <c r="I74" s="1" t="n">
        <v>10</v>
      </c>
      <c r="J74" s="1" t="n">
        <v>0</v>
      </c>
      <c r="K74" s="1" t="n">
        <v>9</v>
      </c>
      <c r="L74" s="1" t="s">
        <v>70</v>
      </c>
      <c r="M74" s="1" t="n">
        <v>3</v>
      </c>
      <c r="N74" s="1" t="s">
        <v>54</v>
      </c>
      <c r="O74" s="1" t="n">
        <v>0</v>
      </c>
      <c r="P74" s="1" t="n">
        <f aca="false">IF(AND(L74="executa",K74=0,J74&gt;0),1,0)</f>
        <v>0</v>
      </c>
    </row>
    <row r="75" customFormat="false" ht="15" hidden="false" customHeight="true" outlineLevel="0" collapsed="false">
      <c r="A75" s="1" t="s">
        <v>23</v>
      </c>
      <c r="B75" s="1" t="s">
        <v>68</v>
      </c>
      <c r="C75" s="1" t="s">
        <v>25</v>
      </c>
      <c r="D75" s="1" t="s">
        <v>44</v>
      </c>
      <c r="E75" s="1" t="s">
        <v>13</v>
      </c>
      <c r="F75" s="1" t="s">
        <v>86</v>
      </c>
      <c r="G75" s="1" t="s">
        <v>80</v>
      </c>
      <c r="H75" s="1" t="n">
        <v>1</v>
      </c>
      <c r="I75" s="1" t="n">
        <v>14</v>
      </c>
      <c r="J75" s="1" t="n">
        <v>14</v>
      </c>
      <c r="K75" s="1" t="n">
        <v>0</v>
      </c>
      <c r="L75" s="1" t="s">
        <v>29</v>
      </c>
      <c r="M75" s="1" t="n">
        <v>0</v>
      </c>
      <c r="N75" s="1" t="s">
        <v>81</v>
      </c>
      <c r="O75" s="1" t="n">
        <v>0</v>
      </c>
      <c r="P75" s="1" t="n">
        <f aca="false">IF(AND(L75="executa",K75=0,J75&gt;0),1,0)</f>
        <v>1</v>
      </c>
    </row>
    <row r="76" customFormat="false" ht="15" hidden="false" customHeight="true" outlineLevel="0" collapsed="false">
      <c r="A76" s="1" t="s">
        <v>23</v>
      </c>
      <c r="B76" s="1" t="s">
        <v>68</v>
      </c>
      <c r="C76" s="1" t="s">
        <v>25</v>
      </c>
      <c r="D76" s="1" t="s">
        <v>44</v>
      </c>
      <c r="E76" s="1" t="s">
        <v>13</v>
      </c>
      <c r="F76" s="1" t="s">
        <v>87</v>
      </c>
      <c r="G76" s="1" t="s">
        <v>83</v>
      </c>
      <c r="H76" s="1" t="n">
        <v>0</v>
      </c>
      <c r="I76" s="1" t="n">
        <v>14</v>
      </c>
      <c r="J76" s="1" t="n">
        <v>7</v>
      </c>
      <c r="K76" s="1" t="n">
        <v>1</v>
      </c>
      <c r="L76" s="1" t="s">
        <v>29</v>
      </c>
      <c r="M76" s="1" t="n">
        <v>3</v>
      </c>
      <c r="N76" s="1" t="s">
        <v>54</v>
      </c>
      <c r="O76" s="1" t="n">
        <v>0</v>
      </c>
      <c r="P76" s="1" t="n">
        <f aca="false">IF(AND(L76="executa",K76=0,J76&gt;0),1,0)</f>
        <v>0</v>
      </c>
    </row>
    <row r="77" customFormat="false" ht="15" hidden="false" customHeight="true" outlineLevel="0" collapsed="false">
      <c r="A77" s="1" t="s">
        <v>23</v>
      </c>
      <c r="B77" s="1" t="s">
        <v>68</v>
      </c>
      <c r="C77" s="1" t="s">
        <v>25</v>
      </c>
      <c r="D77" s="1" t="s">
        <v>36</v>
      </c>
      <c r="E77" s="1" t="s">
        <v>88</v>
      </c>
      <c r="F77" s="1" t="s">
        <v>89</v>
      </c>
      <c r="G77" s="1" t="s">
        <v>83</v>
      </c>
      <c r="H77" s="1" t="n">
        <v>0</v>
      </c>
      <c r="I77" s="1" t="n">
        <v>10</v>
      </c>
      <c r="J77" s="1" t="n">
        <v>0</v>
      </c>
      <c r="K77" s="1" t="n">
        <v>10</v>
      </c>
      <c r="L77" s="1" t="s">
        <v>70</v>
      </c>
      <c r="M77" s="1" t="n">
        <v>3</v>
      </c>
      <c r="O77" s="1" t="n">
        <v>0</v>
      </c>
      <c r="P77" s="1" t="n">
        <f aca="false">IF(AND(L77="executa",K77=0,J77&gt;0),1,0)</f>
        <v>0</v>
      </c>
    </row>
    <row r="78" customFormat="false" ht="15" hidden="false" customHeight="true" outlineLevel="0" collapsed="false">
      <c r="A78" s="1" t="s">
        <v>23</v>
      </c>
      <c r="B78" s="1" t="s">
        <v>68</v>
      </c>
      <c r="C78" s="1" t="s">
        <v>66</v>
      </c>
      <c r="D78" s="1" t="s">
        <v>26</v>
      </c>
      <c r="E78" s="1" t="s">
        <v>27</v>
      </c>
      <c r="F78" s="1" t="s">
        <v>69</v>
      </c>
      <c r="H78" s="1" t="n">
        <v>0</v>
      </c>
      <c r="I78" s="1" t="n">
        <v>10</v>
      </c>
      <c r="J78" s="1" t="n">
        <v>0</v>
      </c>
      <c r="K78" s="1" t="n">
        <v>10</v>
      </c>
      <c r="L78" s="1" t="s">
        <v>29</v>
      </c>
      <c r="M78" s="1" t="n">
        <v>3</v>
      </c>
      <c r="O78" s="1" t="n">
        <v>0</v>
      </c>
      <c r="P78" s="1" t="n">
        <f aca="false">IF(AND(L78="executa",K78=0,J78&gt;0),1,0)</f>
        <v>0</v>
      </c>
    </row>
    <row r="79" customFormat="false" ht="15" hidden="false" customHeight="true" outlineLevel="0" collapsed="false">
      <c r="A79" s="1" t="s">
        <v>23</v>
      </c>
      <c r="B79" s="1" t="s">
        <v>68</v>
      </c>
      <c r="C79" s="1" t="s">
        <v>66</v>
      </c>
      <c r="D79" s="1" t="s">
        <v>26</v>
      </c>
      <c r="E79" s="1" t="s">
        <v>27</v>
      </c>
      <c r="F79" s="1" t="s">
        <v>71</v>
      </c>
      <c r="H79" s="1" t="n">
        <v>0</v>
      </c>
      <c r="I79" s="1" t="n">
        <v>11</v>
      </c>
      <c r="J79" s="1" t="n">
        <v>10</v>
      </c>
      <c r="K79" s="1" t="n">
        <v>1</v>
      </c>
      <c r="L79" s="1" t="s">
        <v>29</v>
      </c>
      <c r="M79" s="1" t="n">
        <v>3</v>
      </c>
      <c r="O79" s="1" t="n">
        <v>2</v>
      </c>
      <c r="P79" s="1" t="n">
        <f aca="false">IF(AND(L79="executa",K79=0,J79&gt;0),1,0)</f>
        <v>0</v>
      </c>
    </row>
    <row r="80" customFormat="false" ht="15" hidden="false" customHeight="true" outlineLevel="0" collapsed="false">
      <c r="A80" s="1" t="s">
        <v>23</v>
      </c>
      <c r="B80" s="1" t="s">
        <v>68</v>
      </c>
      <c r="C80" s="1" t="s">
        <v>66</v>
      </c>
      <c r="D80" s="1" t="s">
        <v>26</v>
      </c>
      <c r="E80" s="1" t="s">
        <v>27</v>
      </c>
      <c r="F80" s="1" t="s">
        <v>72</v>
      </c>
      <c r="H80" s="1" t="n">
        <v>0</v>
      </c>
      <c r="I80" s="1" t="n">
        <v>10</v>
      </c>
      <c r="J80" s="1" t="n">
        <v>5</v>
      </c>
      <c r="K80" s="1" t="n">
        <v>5</v>
      </c>
      <c r="L80" s="1" t="s">
        <v>29</v>
      </c>
      <c r="M80" s="1" t="n">
        <v>3</v>
      </c>
      <c r="O80" s="1" t="n">
        <v>0</v>
      </c>
      <c r="P80" s="1" t="n">
        <f aca="false">IF(AND(L80="executa",K80=0,J80&gt;0),1,0)</f>
        <v>0</v>
      </c>
    </row>
    <row r="81" customFormat="false" ht="15" hidden="false" customHeight="true" outlineLevel="0" collapsed="false">
      <c r="A81" s="1" t="s">
        <v>23</v>
      </c>
      <c r="B81" s="1" t="s">
        <v>68</v>
      </c>
      <c r="C81" s="1" t="s">
        <v>66</v>
      </c>
      <c r="D81" s="1" t="s">
        <v>36</v>
      </c>
      <c r="E81" s="1" t="s">
        <v>27</v>
      </c>
      <c r="F81" s="1" t="s">
        <v>73</v>
      </c>
      <c r="H81" s="1" t="n">
        <v>1</v>
      </c>
      <c r="I81" s="1" t="n">
        <v>7</v>
      </c>
      <c r="J81" s="1" t="n">
        <v>7</v>
      </c>
      <c r="K81" s="1" t="n">
        <v>0</v>
      </c>
      <c r="L81" s="1" t="s">
        <v>29</v>
      </c>
      <c r="M81" s="1" t="n">
        <v>2</v>
      </c>
      <c r="O81" s="1" t="n">
        <v>0</v>
      </c>
      <c r="P81" s="1" t="n">
        <f aca="false">IF(AND(L81="executa",K81=0,J81&gt;0),1,0)</f>
        <v>1</v>
      </c>
    </row>
    <row r="82" customFormat="false" ht="15" hidden="false" customHeight="true" outlineLevel="0" collapsed="false">
      <c r="A82" s="1" t="s">
        <v>23</v>
      </c>
      <c r="B82" s="1" t="s">
        <v>68</v>
      </c>
      <c r="C82" s="1" t="s">
        <v>66</v>
      </c>
      <c r="D82" s="1" t="s">
        <v>36</v>
      </c>
      <c r="E82" s="1" t="s">
        <v>27</v>
      </c>
      <c r="F82" s="1" t="s">
        <v>74</v>
      </c>
      <c r="H82" s="1" t="n">
        <v>1</v>
      </c>
      <c r="I82" s="1" t="n">
        <v>9</v>
      </c>
      <c r="J82" s="1" t="n">
        <v>9</v>
      </c>
      <c r="K82" s="1" t="n">
        <v>0</v>
      </c>
      <c r="L82" s="1" t="s">
        <v>29</v>
      </c>
      <c r="M82" s="1" t="n">
        <v>1</v>
      </c>
      <c r="O82" s="1" t="n">
        <v>1</v>
      </c>
      <c r="P82" s="1" t="n">
        <f aca="false">IF(AND(L82="executa",K82=0,J82&gt;0),1,0)</f>
        <v>1</v>
      </c>
    </row>
    <row r="83" customFormat="false" ht="15" hidden="false" customHeight="true" outlineLevel="0" collapsed="false">
      <c r="A83" s="1" t="s">
        <v>23</v>
      </c>
      <c r="B83" s="1" t="s">
        <v>68</v>
      </c>
      <c r="C83" s="1" t="s">
        <v>66</v>
      </c>
      <c r="D83" s="1" t="s">
        <v>36</v>
      </c>
      <c r="E83" s="1" t="s">
        <v>27</v>
      </c>
      <c r="F83" s="1" t="s">
        <v>75</v>
      </c>
      <c r="H83" s="1" t="n">
        <v>1</v>
      </c>
      <c r="I83" s="1" t="n">
        <v>5</v>
      </c>
      <c r="J83" s="1" t="n">
        <v>5</v>
      </c>
      <c r="K83" s="1" t="n">
        <v>0</v>
      </c>
      <c r="L83" s="1" t="s">
        <v>29</v>
      </c>
      <c r="M83" s="1" t="n">
        <v>0</v>
      </c>
      <c r="O83" s="1" t="n">
        <v>0</v>
      </c>
      <c r="P83" s="1" t="n">
        <f aca="false">IF(AND(L83="executa",K83=0,J83&gt;0),1,0)</f>
        <v>1</v>
      </c>
    </row>
    <row r="84" customFormat="false" ht="15" hidden="false" customHeight="true" outlineLevel="0" collapsed="false">
      <c r="A84" s="1" t="s">
        <v>23</v>
      </c>
      <c r="B84" s="1" t="s">
        <v>68</v>
      </c>
      <c r="C84" s="1" t="s">
        <v>66</v>
      </c>
      <c r="D84" s="1" t="s">
        <v>44</v>
      </c>
      <c r="E84" s="1" t="s">
        <v>27</v>
      </c>
      <c r="F84" s="1" t="s">
        <v>76</v>
      </c>
      <c r="H84" s="1" t="n">
        <v>1</v>
      </c>
      <c r="I84" s="1" t="n">
        <v>6</v>
      </c>
      <c r="J84" s="1" t="n">
        <v>6</v>
      </c>
      <c r="K84" s="1" t="n">
        <v>0</v>
      </c>
      <c r="L84" s="1" t="s">
        <v>29</v>
      </c>
      <c r="M84" s="1" t="n">
        <v>2</v>
      </c>
      <c r="O84" s="1" t="n">
        <v>0</v>
      </c>
      <c r="P84" s="1" t="n">
        <f aca="false">IF(AND(L84="executa",K84=0,J84&gt;0),1,0)</f>
        <v>1</v>
      </c>
    </row>
    <row r="85" customFormat="false" ht="15" hidden="false" customHeight="true" outlineLevel="0" collapsed="false">
      <c r="A85" s="1" t="s">
        <v>23</v>
      </c>
      <c r="B85" s="1" t="s">
        <v>68</v>
      </c>
      <c r="C85" s="1" t="s">
        <v>66</v>
      </c>
      <c r="D85" s="1" t="s">
        <v>44</v>
      </c>
      <c r="E85" s="1" t="s">
        <v>27</v>
      </c>
      <c r="F85" s="1" t="s">
        <v>77</v>
      </c>
      <c r="H85" s="1" t="n">
        <v>1</v>
      </c>
      <c r="I85" s="1" t="n">
        <v>8</v>
      </c>
      <c r="J85" s="1" t="n">
        <v>8</v>
      </c>
      <c r="K85" s="1" t="n">
        <v>0</v>
      </c>
      <c r="L85" s="1" t="s">
        <v>29</v>
      </c>
      <c r="M85" s="1" t="n">
        <v>3</v>
      </c>
      <c r="O85" s="1" t="n">
        <v>1</v>
      </c>
      <c r="P85" s="1" t="n">
        <f aca="false">IF(AND(L85="executa",K85=0,J85&gt;0),1,0)</f>
        <v>1</v>
      </c>
    </row>
    <row r="86" customFormat="false" ht="15" hidden="false" customHeight="true" outlineLevel="0" collapsed="false">
      <c r="A86" s="1" t="s">
        <v>23</v>
      </c>
      <c r="B86" s="1" t="s">
        <v>68</v>
      </c>
      <c r="C86" s="1" t="s">
        <v>66</v>
      </c>
      <c r="D86" s="1" t="s">
        <v>44</v>
      </c>
      <c r="E86" s="1" t="s">
        <v>27</v>
      </c>
      <c r="F86" s="1" t="s">
        <v>78</v>
      </c>
      <c r="H86" s="1" t="n">
        <v>1</v>
      </c>
      <c r="I86" s="1" t="n">
        <v>5</v>
      </c>
      <c r="J86" s="1" t="n">
        <v>5</v>
      </c>
      <c r="K86" s="1" t="n">
        <v>0</v>
      </c>
      <c r="L86" s="1" t="s">
        <v>29</v>
      </c>
      <c r="M86" s="1" t="n">
        <v>0</v>
      </c>
      <c r="O86" s="1" t="n">
        <v>0</v>
      </c>
      <c r="P86" s="1" t="n">
        <f aca="false">IF(AND(L86="executa",K86=0,J86&gt;0),1,0)</f>
        <v>1</v>
      </c>
    </row>
    <row r="87" customFormat="false" ht="15" hidden="false" customHeight="true" outlineLevel="0" collapsed="false">
      <c r="A87" s="1" t="s">
        <v>23</v>
      </c>
      <c r="B87" s="1" t="s">
        <v>68</v>
      </c>
      <c r="C87" s="1" t="s">
        <v>66</v>
      </c>
      <c r="D87" s="1" t="s">
        <v>26</v>
      </c>
      <c r="E87" s="1" t="s">
        <v>13</v>
      </c>
      <c r="F87" s="1" t="s">
        <v>79</v>
      </c>
      <c r="G87" s="1" t="s">
        <v>80</v>
      </c>
      <c r="H87" s="1" t="n">
        <v>1</v>
      </c>
      <c r="I87" s="1" t="n">
        <v>9</v>
      </c>
      <c r="J87" s="1" t="n">
        <v>9</v>
      </c>
      <c r="K87" s="1" t="n">
        <v>0</v>
      </c>
      <c r="L87" s="1" t="s">
        <v>29</v>
      </c>
      <c r="M87" s="1" t="n">
        <v>0</v>
      </c>
      <c r="N87" s="1" t="s">
        <v>81</v>
      </c>
      <c r="O87" s="1" t="n">
        <v>0</v>
      </c>
      <c r="P87" s="1" t="n">
        <f aca="false">IF(AND(L87="executa",K87=0,J87&gt;0),1,0)</f>
        <v>1</v>
      </c>
    </row>
    <row r="88" customFormat="false" ht="15" hidden="false" customHeight="true" outlineLevel="0" collapsed="false">
      <c r="A88" s="1" t="s">
        <v>23</v>
      </c>
      <c r="B88" s="1" t="s">
        <v>68</v>
      </c>
      <c r="C88" s="1" t="s">
        <v>66</v>
      </c>
      <c r="D88" s="1" t="s">
        <v>26</v>
      </c>
      <c r="E88" s="1" t="s">
        <v>13</v>
      </c>
      <c r="F88" s="1" t="s">
        <v>82</v>
      </c>
      <c r="G88" s="1" t="s">
        <v>83</v>
      </c>
      <c r="H88" s="1" t="n">
        <v>1</v>
      </c>
      <c r="I88" s="1" t="n">
        <v>10</v>
      </c>
      <c r="J88" s="1" t="n">
        <v>9</v>
      </c>
      <c r="K88" s="1" t="n">
        <v>1</v>
      </c>
      <c r="L88" s="1" t="s">
        <v>29</v>
      </c>
      <c r="M88" s="1" t="n">
        <v>1</v>
      </c>
      <c r="N88" s="1" t="s">
        <v>90</v>
      </c>
      <c r="O88" s="1" t="n">
        <v>1</v>
      </c>
      <c r="P88" s="1" t="n">
        <f aca="false">IF(AND(L88="executa",K88=0,J88&gt;0),1,0)</f>
        <v>0</v>
      </c>
    </row>
    <row r="89" customFormat="false" ht="15" hidden="false" customHeight="true" outlineLevel="0" collapsed="false">
      <c r="A89" s="1" t="s">
        <v>23</v>
      </c>
      <c r="B89" s="1" t="s">
        <v>68</v>
      </c>
      <c r="C89" s="1" t="s">
        <v>66</v>
      </c>
      <c r="D89" s="1" t="s">
        <v>36</v>
      </c>
      <c r="E89" s="1" t="s">
        <v>13</v>
      </c>
      <c r="F89" s="1" t="s">
        <v>84</v>
      </c>
      <c r="G89" s="1" t="s">
        <v>80</v>
      </c>
      <c r="H89" s="1" t="n">
        <v>0</v>
      </c>
      <c r="I89" s="1" t="n">
        <v>5</v>
      </c>
      <c r="J89" s="1" t="n">
        <v>3</v>
      </c>
      <c r="K89" s="1" t="n">
        <v>2</v>
      </c>
      <c r="L89" s="1" t="s">
        <v>29</v>
      </c>
      <c r="M89" s="1" t="n">
        <v>3</v>
      </c>
      <c r="N89" s="1" t="s">
        <v>81</v>
      </c>
      <c r="O89" s="1" t="n">
        <v>0</v>
      </c>
      <c r="P89" s="1" t="n">
        <f aca="false">IF(AND(L89="executa",K89=0,J89&gt;0),1,0)</f>
        <v>0</v>
      </c>
    </row>
    <row r="90" customFormat="false" ht="15" hidden="false" customHeight="true" outlineLevel="0" collapsed="false">
      <c r="A90" s="1" t="s">
        <v>23</v>
      </c>
      <c r="B90" s="1" t="s">
        <v>68</v>
      </c>
      <c r="C90" s="1" t="s">
        <v>66</v>
      </c>
      <c r="D90" s="1" t="s">
        <v>36</v>
      </c>
      <c r="E90" s="1" t="s">
        <v>13</v>
      </c>
      <c r="F90" s="1" t="s">
        <v>85</v>
      </c>
      <c r="G90" s="1" t="s">
        <v>83</v>
      </c>
      <c r="H90" s="1" t="n">
        <v>0</v>
      </c>
      <c r="I90" s="1" t="n">
        <v>9</v>
      </c>
      <c r="J90" s="1" t="n">
        <v>9</v>
      </c>
      <c r="K90" s="1" t="n">
        <v>0</v>
      </c>
      <c r="L90" s="1" t="s">
        <v>29</v>
      </c>
      <c r="M90" s="1" t="n">
        <v>2</v>
      </c>
      <c r="N90" s="1" t="s">
        <v>90</v>
      </c>
      <c r="O90" s="1" t="n">
        <v>0</v>
      </c>
      <c r="P90" s="1" t="n">
        <f aca="false">IF(AND(L90="executa",K90=0,J90&gt;0),1,0)</f>
        <v>1</v>
      </c>
    </row>
    <row r="91" customFormat="false" ht="15" hidden="false" customHeight="true" outlineLevel="0" collapsed="false">
      <c r="A91" s="1" t="s">
        <v>23</v>
      </c>
      <c r="B91" s="1" t="s">
        <v>68</v>
      </c>
      <c r="C91" s="1" t="s">
        <v>66</v>
      </c>
      <c r="D91" s="1" t="s">
        <v>44</v>
      </c>
      <c r="E91" s="1" t="s">
        <v>13</v>
      </c>
      <c r="F91" s="1" t="s">
        <v>86</v>
      </c>
      <c r="G91" s="1" t="s">
        <v>80</v>
      </c>
      <c r="H91" s="1" t="n">
        <v>1</v>
      </c>
      <c r="I91" s="1" t="n">
        <v>5</v>
      </c>
      <c r="J91" s="1" t="n">
        <v>5</v>
      </c>
      <c r="K91" s="1" t="n">
        <v>0</v>
      </c>
      <c r="L91" s="1" t="s">
        <v>29</v>
      </c>
      <c r="M91" s="1" t="n">
        <v>0</v>
      </c>
      <c r="N91" s="1" t="s">
        <v>81</v>
      </c>
      <c r="O91" s="1" t="n">
        <v>0</v>
      </c>
      <c r="P91" s="1" t="n">
        <f aca="false">IF(AND(L91="executa",K91=0,J91&gt;0),1,0)</f>
        <v>1</v>
      </c>
    </row>
    <row r="92" customFormat="false" ht="15" hidden="false" customHeight="true" outlineLevel="0" collapsed="false">
      <c r="A92" s="1" t="s">
        <v>23</v>
      </c>
      <c r="B92" s="1" t="s">
        <v>68</v>
      </c>
      <c r="C92" s="1" t="s">
        <v>66</v>
      </c>
      <c r="D92" s="1" t="s">
        <v>44</v>
      </c>
      <c r="E92" s="1" t="s">
        <v>13</v>
      </c>
      <c r="F92" s="1" t="s">
        <v>87</v>
      </c>
      <c r="G92" s="1" t="s">
        <v>83</v>
      </c>
      <c r="H92" s="1" t="n">
        <v>1</v>
      </c>
      <c r="I92" s="1" t="n">
        <v>11</v>
      </c>
      <c r="J92" s="1" t="n">
        <v>10</v>
      </c>
      <c r="K92" s="1" t="n">
        <v>1</v>
      </c>
      <c r="L92" s="1" t="s">
        <v>29</v>
      </c>
      <c r="M92" s="1" t="n">
        <v>2</v>
      </c>
      <c r="N92" s="1" t="s">
        <v>90</v>
      </c>
      <c r="O92" s="1" t="n">
        <v>1</v>
      </c>
      <c r="P92" s="1" t="n">
        <f aca="false">IF(AND(L92="executa",K92=0,J92&gt;0),1,0)</f>
        <v>0</v>
      </c>
    </row>
    <row r="93" customFormat="false" ht="15" hidden="false" customHeight="true" outlineLevel="0" collapsed="false">
      <c r="A93" s="1" t="s">
        <v>23</v>
      </c>
      <c r="B93" s="1" t="s">
        <v>68</v>
      </c>
      <c r="C93" s="1" t="s">
        <v>66</v>
      </c>
      <c r="D93" s="1" t="s">
        <v>36</v>
      </c>
      <c r="E93" s="1" t="s">
        <v>88</v>
      </c>
      <c r="F93" s="1" t="s">
        <v>89</v>
      </c>
      <c r="G93" s="1" t="s">
        <v>83</v>
      </c>
      <c r="H93" s="1" t="n">
        <v>0</v>
      </c>
      <c r="I93" s="1" t="n">
        <v>9</v>
      </c>
      <c r="J93" s="1" t="n">
        <v>0</v>
      </c>
      <c r="K93" s="1" t="n">
        <v>9</v>
      </c>
      <c r="L93" s="1" t="s">
        <v>70</v>
      </c>
      <c r="M93" s="1" t="n">
        <v>3</v>
      </c>
      <c r="O93" s="1" t="n">
        <v>0</v>
      </c>
      <c r="P93" s="1" t="n">
        <f aca="false">IF(AND(L93="executa",K93=0,J93&gt;0),1,0)</f>
        <v>0</v>
      </c>
    </row>
    <row r="94" customFormat="false" ht="15" hidden="false" customHeight="true" outlineLevel="0" collapsed="false">
      <c r="A94" s="1" t="s">
        <v>23</v>
      </c>
      <c r="B94" s="1" t="s">
        <v>91</v>
      </c>
      <c r="C94" s="1" t="s">
        <v>25</v>
      </c>
      <c r="D94" s="1" t="s">
        <v>26</v>
      </c>
      <c r="E94" s="1" t="s">
        <v>27</v>
      </c>
      <c r="F94" s="1" t="s">
        <v>92</v>
      </c>
      <c r="H94" s="1" t="n">
        <v>0</v>
      </c>
      <c r="I94" s="1" t="n">
        <v>10</v>
      </c>
      <c r="J94" s="1" t="n">
        <v>10</v>
      </c>
      <c r="K94" s="1" t="n">
        <v>0</v>
      </c>
      <c r="L94" s="1" t="s">
        <v>29</v>
      </c>
      <c r="M94" s="1" t="n">
        <v>3</v>
      </c>
      <c r="O94" s="1" t="n">
        <v>0</v>
      </c>
      <c r="P94" s="1" t="n">
        <f aca="false">IF(AND(L94="executa",K94=0,J94&gt;0),1,0)</f>
        <v>1</v>
      </c>
    </row>
    <row r="95" customFormat="false" ht="15" hidden="false" customHeight="true" outlineLevel="0" collapsed="false">
      <c r="A95" s="1" t="s">
        <v>23</v>
      </c>
      <c r="B95" s="1" t="s">
        <v>91</v>
      </c>
      <c r="C95" s="1" t="s">
        <v>25</v>
      </c>
      <c r="D95" s="1" t="s">
        <v>26</v>
      </c>
      <c r="E95" s="1" t="s">
        <v>27</v>
      </c>
      <c r="F95" s="1" t="s">
        <v>93</v>
      </c>
      <c r="H95" s="1" t="n">
        <v>0</v>
      </c>
      <c r="I95" s="1" t="n">
        <v>10</v>
      </c>
      <c r="J95" s="1" t="n">
        <v>9</v>
      </c>
      <c r="K95" s="1" t="n">
        <v>1</v>
      </c>
      <c r="L95" s="1" t="s">
        <v>29</v>
      </c>
      <c r="M95" s="1" t="n">
        <v>3</v>
      </c>
      <c r="O95" s="1" t="n">
        <v>0</v>
      </c>
      <c r="P95" s="1" t="n">
        <f aca="false">IF(AND(L95="executa",K95=0,J95&gt;0),1,0)</f>
        <v>0</v>
      </c>
    </row>
    <row r="96" customFormat="false" ht="15" hidden="false" customHeight="true" outlineLevel="0" collapsed="false">
      <c r="A96" s="1" t="s">
        <v>23</v>
      </c>
      <c r="B96" s="1" t="s">
        <v>91</v>
      </c>
      <c r="C96" s="1" t="s">
        <v>25</v>
      </c>
      <c r="D96" s="1" t="s">
        <v>26</v>
      </c>
      <c r="E96" s="1" t="s">
        <v>27</v>
      </c>
      <c r="F96" s="1" t="s">
        <v>94</v>
      </c>
      <c r="H96" s="1" t="n">
        <v>0</v>
      </c>
      <c r="I96" s="1" t="n">
        <v>5</v>
      </c>
      <c r="J96" s="1" t="n">
        <v>5</v>
      </c>
      <c r="K96" s="1" t="n">
        <v>0</v>
      </c>
      <c r="L96" s="1" t="s">
        <v>29</v>
      </c>
      <c r="M96" s="1" t="n">
        <v>1</v>
      </c>
      <c r="O96" s="1" t="n">
        <v>0</v>
      </c>
      <c r="P96" s="1" t="n">
        <f aca="false">IF(AND(L96="executa",K96=0,J96&gt;0),1,0)</f>
        <v>1</v>
      </c>
    </row>
    <row r="97" customFormat="false" ht="15" hidden="false" customHeight="true" outlineLevel="0" collapsed="false">
      <c r="A97" s="1" t="s">
        <v>23</v>
      </c>
      <c r="B97" s="1" t="s">
        <v>91</v>
      </c>
      <c r="C97" s="1" t="s">
        <v>25</v>
      </c>
      <c r="D97" s="1" t="s">
        <v>36</v>
      </c>
      <c r="E97" s="1" t="s">
        <v>27</v>
      </c>
      <c r="F97" s="1" t="s">
        <v>95</v>
      </c>
      <c r="H97" s="1" t="n">
        <v>0</v>
      </c>
      <c r="I97" s="1" t="n">
        <v>6</v>
      </c>
      <c r="J97" s="1" t="n">
        <v>5</v>
      </c>
      <c r="K97" s="1" t="n">
        <v>1</v>
      </c>
      <c r="L97" s="1" t="s">
        <v>29</v>
      </c>
      <c r="M97" s="1" t="n">
        <v>3</v>
      </c>
      <c r="O97" s="1" t="n">
        <v>0</v>
      </c>
      <c r="P97" s="1" t="n">
        <f aca="false">IF(AND(L97="executa",K97=0,J97&gt;0),1,0)</f>
        <v>0</v>
      </c>
    </row>
    <row r="98" customFormat="false" ht="15" hidden="false" customHeight="true" outlineLevel="0" collapsed="false">
      <c r="A98" s="1" t="s">
        <v>23</v>
      </c>
      <c r="B98" s="1" t="s">
        <v>91</v>
      </c>
      <c r="C98" s="1" t="s">
        <v>25</v>
      </c>
      <c r="D98" s="1" t="s">
        <v>36</v>
      </c>
      <c r="E98" s="1" t="s">
        <v>27</v>
      </c>
      <c r="F98" s="1" t="s">
        <v>96</v>
      </c>
      <c r="H98" s="1" t="n">
        <v>0</v>
      </c>
      <c r="I98" s="1" t="n">
        <v>2</v>
      </c>
      <c r="J98" s="1" t="n">
        <v>0</v>
      </c>
      <c r="K98" s="1" t="n">
        <v>2</v>
      </c>
      <c r="L98" s="1" t="s">
        <v>29</v>
      </c>
      <c r="M98" s="1" t="n">
        <v>3</v>
      </c>
      <c r="O98" s="1" t="n">
        <v>0</v>
      </c>
      <c r="P98" s="1" t="n">
        <f aca="false">IF(AND(L98="executa",K98=0,J98&gt;0),1,0)</f>
        <v>0</v>
      </c>
    </row>
    <row r="99" customFormat="false" ht="15" hidden="false" customHeight="true" outlineLevel="0" collapsed="false">
      <c r="A99" s="1" t="s">
        <v>23</v>
      </c>
      <c r="B99" s="1" t="s">
        <v>91</v>
      </c>
      <c r="C99" s="1" t="s">
        <v>25</v>
      </c>
      <c r="D99" s="1" t="s">
        <v>36</v>
      </c>
      <c r="E99" s="1" t="s">
        <v>27</v>
      </c>
      <c r="F99" s="1" t="s">
        <v>97</v>
      </c>
      <c r="H99" s="1" t="n">
        <v>0</v>
      </c>
      <c r="I99" s="1" t="n">
        <v>3</v>
      </c>
      <c r="J99" s="1" t="n">
        <v>3</v>
      </c>
      <c r="K99" s="1" t="n">
        <v>0</v>
      </c>
      <c r="L99" s="1" t="s">
        <v>29</v>
      </c>
      <c r="M99" s="1" t="n">
        <v>1</v>
      </c>
      <c r="O99" s="1" t="n">
        <v>0</v>
      </c>
      <c r="P99" s="1" t="n">
        <f aca="false">IF(AND(L99="executa",K99=0,J99&gt;0),1,0)</f>
        <v>1</v>
      </c>
    </row>
    <row r="100" customFormat="false" ht="15" hidden="false" customHeight="true" outlineLevel="0" collapsed="false">
      <c r="A100" s="1" t="s">
        <v>23</v>
      </c>
      <c r="B100" s="1" t="s">
        <v>91</v>
      </c>
      <c r="C100" s="1" t="s">
        <v>25</v>
      </c>
      <c r="D100" s="1" t="s">
        <v>44</v>
      </c>
      <c r="E100" s="1" t="s">
        <v>27</v>
      </c>
      <c r="F100" s="1" t="s">
        <v>98</v>
      </c>
      <c r="H100" s="1" t="n">
        <v>0</v>
      </c>
      <c r="I100" s="1" t="n">
        <v>8</v>
      </c>
      <c r="J100" s="1" t="n">
        <v>7</v>
      </c>
      <c r="K100" s="1" t="n">
        <v>1</v>
      </c>
      <c r="L100" s="1" t="s">
        <v>29</v>
      </c>
      <c r="M100" s="1" t="n">
        <v>3</v>
      </c>
      <c r="O100" s="1" t="n">
        <v>1</v>
      </c>
      <c r="P100" s="1" t="n">
        <f aca="false">IF(AND(L100="executa",K100=0,J100&gt;0),1,0)</f>
        <v>0</v>
      </c>
    </row>
    <row r="101" customFormat="false" ht="15" hidden="false" customHeight="true" outlineLevel="0" collapsed="false">
      <c r="A101" s="1" t="s">
        <v>23</v>
      </c>
      <c r="B101" s="1" t="s">
        <v>91</v>
      </c>
      <c r="C101" s="1" t="s">
        <v>25</v>
      </c>
      <c r="D101" s="1" t="s">
        <v>44</v>
      </c>
      <c r="E101" s="1" t="s">
        <v>27</v>
      </c>
      <c r="F101" s="1" t="s">
        <v>99</v>
      </c>
      <c r="H101" s="1" t="n">
        <v>0</v>
      </c>
      <c r="I101" s="1" t="n">
        <v>3</v>
      </c>
      <c r="J101" s="1" t="n">
        <v>1</v>
      </c>
      <c r="K101" s="1" t="n">
        <v>2</v>
      </c>
      <c r="L101" s="1" t="s">
        <v>29</v>
      </c>
      <c r="M101" s="1" t="n">
        <v>3</v>
      </c>
      <c r="O101" s="1" t="n">
        <v>0</v>
      </c>
      <c r="P101" s="1" t="n">
        <f aca="false">IF(AND(L101="executa",K101=0,J101&gt;0),1,0)</f>
        <v>0</v>
      </c>
    </row>
    <row r="102" customFormat="false" ht="15" hidden="false" customHeight="true" outlineLevel="0" collapsed="false">
      <c r="A102" s="1" t="s">
        <v>23</v>
      </c>
      <c r="B102" s="1" t="s">
        <v>91</v>
      </c>
      <c r="C102" s="1" t="s">
        <v>25</v>
      </c>
      <c r="D102" s="1" t="s">
        <v>44</v>
      </c>
      <c r="E102" s="1" t="s">
        <v>27</v>
      </c>
      <c r="F102" s="1" t="s">
        <v>100</v>
      </c>
      <c r="H102" s="1" t="n">
        <v>1</v>
      </c>
      <c r="I102" s="1" t="n">
        <v>3</v>
      </c>
      <c r="J102" s="1" t="n">
        <v>3</v>
      </c>
      <c r="K102" s="1" t="n">
        <v>0</v>
      </c>
      <c r="L102" s="1" t="s">
        <v>29</v>
      </c>
      <c r="M102" s="1" t="n">
        <v>0</v>
      </c>
      <c r="O102" s="1" t="n">
        <v>0</v>
      </c>
      <c r="P102" s="1" t="n">
        <f aca="false">IF(AND(L102="executa",K102=0,J102&gt;0),1,0)</f>
        <v>1</v>
      </c>
    </row>
    <row r="103" customFormat="false" ht="15" hidden="false" customHeight="true" outlineLevel="0" collapsed="false">
      <c r="A103" s="1" t="s">
        <v>23</v>
      </c>
      <c r="B103" s="1" t="s">
        <v>91</v>
      </c>
      <c r="C103" s="1" t="s">
        <v>25</v>
      </c>
      <c r="D103" s="1" t="s">
        <v>26</v>
      </c>
      <c r="E103" s="1" t="s">
        <v>13</v>
      </c>
      <c r="F103" s="1" t="s">
        <v>101</v>
      </c>
      <c r="G103" s="1" t="s">
        <v>102</v>
      </c>
      <c r="H103" s="1" t="n">
        <v>0</v>
      </c>
      <c r="I103" s="1" t="n">
        <v>14</v>
      </c>
      <c r="J103" s="1" t="n">
        <v>2</v>
      </c>
      <c r="K103" s="1" t="n">
        <v>12</v>
      </c>
      <c r="L103" s="1" t="s">
        <v>29</v>
      </c>
      <c r="M103" s="1" t="n">
        <v>3</v>
      </c>
      <c r="N103" s="1" t="s">
        <v>90</v>
      </c>
      <c r="O103" s="1" t="n">
        <v>0</v>
      </c>
      <c r="P103" s="1" t="n">
        <f aca="false">IF(AND(L103="executa",K103=0,J103&gt;0),1,0)</f>
        <v>0</v>
      </c>
    </row>
    <row r="104" customFormat="false" ht="15" hidden="false" customHeight="true" outlineLevel="0" collapsed="false">
      <c r="A104" s="1" t="s">
        <v>23</v>
      </c>
      <c r="B104" s="1" t="s">
        <v>91</v>
      </c>
      <c r="C104" s="1" t="s">
        <v>25</v>
      </c>
      <c r="D104" s="1" t="s">
        <v>26</v>
      </c>
      <c r="E104" s="1" t="s">
        <v>13</v>
      </c>
      <c r="F104" s="1" t="s">
        <v>103</v>
      </c>
      <c r="G104" s="1" t="s">
        <v>104</v>
      </c>
      <c r="H104" s="1" t="n">
        <v>1</v>
      </c>
      <c r="I104" s="1" t="n">
        <v>4</v>
      </c>
      <c r="J104" s="1" t="n">
        <v>4</v>
      </c>
      <c r="K104" s="1" t="n">
        <v>0</v>
      </c>
      <c r="L104" s="1" t="s">
        <v>29</v>
      </c>
      <c r="M104" s="1" t="n">
        <v>0</v>
      </c>
      <c r="N104" s="1" t="s">
        <v>90</v>
      </c>
      <c r="O104" s="1" t="n">
        <v>0</v>
      </c>
      <c r="P104" s="1" t="n">
        <f aca="false">IF(AND(L104="executa",K104=0,J104&gt;0),1,0)</f>
        <v>1</v>
      </c>
    </row>
    <row r="105" customFormat="false" ht="15" hidden="false" customHeight="true" outlineLevel="0" collapsed="false">
      <c r="A105" s="1" t="s">
        <v>23</v>
      </c>
      <c r="B105" s="1" t="s">
        <v>91</v>
      </c>
      <c r="C105" s="1" t="s">
        <v>25</v>
      </c>
      <c r="D105" s="1" t="s">
        <v>36</v>
      </c>
      <c r="E105" s="1" t="s">
        <v>13</v>
      </c>
      <c r="F105" s="1" t="s">
        <v>105</v>
      </c>
      <c r="G105" s="1" t="s">
        <v>102</v>
      </c>
      <c r="H105" s="1" t="n">
        <v>0</v>
      </c>
      <c r="I105" s="1" t="n">
        <v>3</v>
      </c>
      <c r="J105" s="1" t="n">
        <v>2</v>
      </c>
      <c r="K105" s="1" t="n">
        <v>1</v>
      </c>
      <c r="L105" s="1" t="s">
        <v>29</v>
      </c>
      <c r="M105" s="1" t="n">
        <v>3</v>
      </c>
      <c r="N105" s="1" t="s">
        <v>81</v>
      </c>
      <c r="O105" s="1" t="n">
        <v>1</v>
      </c>
      <c r="P105" s="1" t="n">
        <f aca="false">IF(AND(L105="executa",K105=0,J105&gt;0),1,0)</f>
        <v>0</v>
      </c>
    </row>
    <row r="106" customFormat="false" ht="15" hidden="false" customHeight="true" outlineLevel="0" collapsed="false">
      <c r="A106" s="1" t="s">
        <v>23</v>
      </c>
      <c r="B106" s="1" t="s">
        <v>91</v>
      </c>
      <c r="C106" s="1" t="s">
        <v>25</v>
      </c>
      <c r="D106" s="1" t="s">
        <v>36</v>
      </c>
      <c r="E106" s="1" t="s">
        <v>13</v>
      </c>
      <c r="F106" s="1" t="s">
        <v>106</v>
      </c>
      <c r="G106" s="1" t="s">
        <v>104</v>
      </c>
      <c r="H106" s="1" t="n">
        <v>0</v>
      </c>
      <c r="I106" s="1" t="n">
        <v>2</v>
      </c>
      <c r="J106" s="1" t="n">
        <v>0</v>
      </c>
      <c r="K106" s="1" t="n">
        <v>2</v>
      </c>
      <c r="L106" s="1" t="s">
        <v>70</v>
      </c>
      <c r="M106" s="1" t="n">
        <v>3</v>
      </c>
      <c r="N106" s="1" t="s">
        <v>54</v>
      </c>
      <c r="O106" s="1" t="n">
        <v>0</v>
      </c>
      <c r="P106" s="1" t="n">
        <f aca="false">IF(AND(L106="executa",K106=0,J106&gt;0),1,0)</f>
        <v>0</v>
      </c>
    </row>
    <row r="107" customFormat="false" ht="15" hidden="false" customHeight="true" outlineLevel="0" collapsed="false">
      <c r="A107" s="1" t="s">
        <v>23</v>
      </c>
      <c r="B107" s="1" t="s">
        <v>91</v>
      </c>
      <c r="C107" s="1" t="s">
        <v>25</v>
      </c>
      <c r="D107" s="1" t="s">
        <v>44</v>
      </c>
      <c r="E107" s="1" t="s">
        <v>13</v>
      </c>
      <c r="F107" s="1" t="s">
        <v>107</v>
      </c>
      <c r="G107" s="1" t="s">
        <v>102</v>
      </c>
      <c r="H107" s="1" t="n">
        <v>0</v>
      </c>
      <c r="I107" s="1" t="n">
        <v>6</v>
      </c>
      <c r="J107" s="1" t="n">
        <v>1</v>
      </c>
      <c r="K107" s="1" t="n">
        <v>5</v>
      </c>
      <c r="L107" s="1" t="s">
        <v>29</v>
      </c>
      <c r="M107" s="1" t="n">
        <v>3</v>
      </c>
      <c r="N107" s="1" t="s">
        <v>67</v>
      </c>
      <c r="O107" s="1" t="n">
        <v>1</v>
      </c>
      <c r="P107" s="1" t="n">
        <f aca="false">IF(AND(L107="executa",K107=0,J107&gt;0),1,0)</f>
        <v>0</v>
      </c>
    </row>
    <row r="108" customFormat="false" ht="15" hidden="false" customHeight="true" outlineLevel="0" collapsed="false">
      <c r="A108" s="1" t="s">
        <v>23</v>
      </c>
      <c r="B108" s="1" t="s">
        <v>91</v>
      </c>
      <c r="C108" s="1" t="s">
        <v>25</v>
      </c>
      <c r="D108" s="1" t="s">
        <v>44</v>
      </c>
      <c r="E108" s="1" t="s">
        <v>13</v>
      </c>
      <c r="F108" s="1" t="s">
        <v>108</v>
      </c>
      <c r="G108" s="1" t="s">
        <v>104</v>
      </c>
      <c r="H108" s="1" t="n">
        <v>1</v>
      </c>
      <c r="I108" s="1" t="n">
        <v>2</v>
      </c>
      <c r="J108" s="1" t="n">
        <v>2</v>
      </c>
      <c r="K108" s="1" t="n">
        <v>0</v>
      </c>
      <c r="L108" s="1" t="s">
        <v>29</v>
      </c>
      <c r="M108" s="1" t="n">
        <v>0</v>
      </c>
      <c r="N108" s="1" t="s">
        <v>54</v>
      </c>
      <c r="O108" s="1" t="n">
        <v>0</v>
      </c>
      <c r="P108" s="1" t="n">
        <f aca="false">IF(AND(L108="executa",K108=0,J108&gt;0),1,0)</f>
        <v>1</v>
      </c>
    </row>
    <row r="109" customFormat="false" ht="15" hidden="false" customHeight="true" outlineLevel="0" collapsed="false">
      <c r="A109" s="1" t="s">
        <v>23</v>
      </c>
      <c r="B109" s="1" t="s">
        <v>91</v>
      </c>
      <c r="C109" s="1" t="s">
        <v>25</v>
      </c>
      <c r="D109" s="1" t="s">
        <v>26</v>
      </c>
      <c r="E109" s="1" t="s">
        <v>88</v>
      </c>
      <c r="F109" s="1" t="s">
        <v>109</v>
      </c>
      <c r="G109" s="1" t="s">
        <v>102</v>
      </c>
      <c r="H109" s="1" t="n">
        <v>1</v>
      </c>
      <c r="I109" s="1" t="n">
        <v>13</v>
      </c>
      <c r="J109" s="1" t="n">
        <v>0</v>
      </c>
      <c r="K109" s="1" t="n">
        <v>13</v>
      </c>
      <c r="L109" s="1" t="s">
        <v>29</v>
      </c>
      <c r="M109" s="1" t="n">
        <v>3</v>
      </c>
      <c r="O109" s="1" t="n">
        <v>2</v>
      </c>
      <c r="P109" s="1" t="n">
        <f aca="false">IF(AND(L109="executa",K109=0,J109&gt;0),1,0)</f>
        <v>0</v>
      </c>
    </row>
    <row r="110" customFormat="false" ht="15" hidden="false" customHeight="true" outlineLevel="0" collapsed="false">
      <c r="A110" s="1" t="s">
        <v>23</v>
      </c>
      <c r="B110" s="1" t="s">
        <v>91</v>
      </c>
      <c r="C110" s="1" t="s">
        <v>25</v>
      </c>
      <c r="D110" s="1" t="s">
        <v>36</v>
      </c>
      <c r="E110" s="1" t="s">
        <v>88</v>
      </c>
      <c r="F110" s="1" t="s">
        <v>110</v>
      </c>
      <c r="G110" s="1" t="s">
        <v>102</v>
      </c>
      <c r="H110" s="1" t="n">
        <v>1</v>
      </c>
      <c r="I110" s="1" t="n">
        <v>2</v>
      </c>
      <c r="J110" s="1" t="n">
        <v>1</v>
      </c>
      <c r="K110" s="1" t="n">
        <v>1</v>
      </c>
      <c r="L110" s="1" t="s">
        <v>29</v>
      </c>
      <c r="M110" s="1" t="n">
        <v>3</v>
      </c>
      <c r="O110" s="1" t="n">
        <v>0</v>
      </c>
      <c r="P110" s="1" t="n">
        <f aca="false">IF(AND(L110="executa",K110=0,J110&gt;0),1,0)</f>
        <v>0</v>
      </c>
    </row>
    <row r="111" customFormat="false" ht="15" hidden="false" customHeight="true" outlineLevel="0" collapsed="false">
      <c r="A111" s="1" t="s">
        <v>23</v>
      </c>
      <c r="B111" s="1" t="s">
        <v>91</v>
      </c>
      <c r="C111" s="1" t="s">
        <v>25</v>
      </c>
      <c r="D111" s="1" t="s">
        <v>44</v>
      </c>
      <c r="E111" s="1" t="s">
        <v>88</v>
      </c>
      <c r="F111" s="1" t="s">
        <v>111</v>
      </c>
      <c r="G111" s="1" t="s">
        <v>102</v>
      </c>
      <c r="H111" s="1" t="n">
        <v>1</v>
      </c>
      <c r="I111" s="1" t="n">
        <v>6</v>
      </c>
      <c r="J111" s="1" t="n">
        <v>1</v>
      </c>
      <c r="K111" s="1" t="n">
        <v>4</v>
      </c>
      <c r="L111" s="1" t="s">
        <v>29</v>
      </c>
      <c r="M111" s="1" t="n">
        <v>3</v>
      </c>
      <c r="O111" s="1" t="n">
        <v>2</v>
      </c>
      <c r="P111" s="1" t="n">
        <f aca="false">IF(AND(L111="executa",K111=0,J111&gt;0),1,0)</f>
        <v>0</v>
      </c>
    </row>
    <row r="112" customFormat="false" ht="15" hidden="false" customHeight="true" outlineLevel="0" collapsed="false">
      <c r="A112" s="1" t="s">
        <v>23</v>
      </c>
      <c r="B112" s="1" t="s">
        <v>91</v>
      </c>
      <c r="C112" s="1" t="s">
        <v>66</v>
      </c>
      <c r="D112" s="1" t="s">
        <v>26</v>
      </c>
      <c r="E112" s="1" t="s">
        <v>27</v>
      </c>
      <c r="F112" s="1" t="s">
        <v>92</v>
      </c>
      <c r="H112" s="1" t="n">
        <v>1</v>
      </c>
      <c r="I112" s="1" t="n">
        <v>8</v>
      </c>
      <c r="J112" s="1" t="n">
        <v>0</v>
      </c>
      <c r="K112" s="1" t="n">
        <v>8</v>
      </c>
      <c r="L112" s="1" t="s">
        <v>112</v>
      </c>
      <c r="M112" s="1" t="n">
        <v>3</v>
      </c>
      <c r="O112" s="1" t="n">
        <v>0</v>
      </c>
      <c r="P112" s="1" t="n">
        <f aca="false">IF(AND(L112="executa",K112=0,J112&gt;0),1,0)</f>
        <v>0</v>
      </c>
    </row>
    <row r="113" customFormat="false" ht="15" hidden="false" customHeight="true" outlineLevel="0" collapsed="false">
      <c r="A113" s="1" t="s">
        <v>23</v>
      </c>
      <c r="B113" s="1" t="s">
        <v>91</v>
      </c>
      <c r="C113" s="1" t="s">
        <v>66</v>
      </c>
      <c r="D113" s="1" t="s">
        <v>26</v>
      </c>
      <c r="E113" s="1" t="s">
        <v>27</v>
      </c>
      <c r="F113" s="1" t="s">
        <v>93</v>
      </c>
      <c r="H113" s="1" t="n">
        <v>1</v>
      </c>
      <c r="I113" s="1" t="n">
        <v>5</v>
      </c>
      <c r="J113" s="1" t="n">
        <v>5</v>
      </c>
      <c r="K113" s="1" t="n">
        <v>0</v>
      </c>
      <c r="L113" s="1" t="s">
        <v>29</v>
      </c>
      <c r="M113" s="1" t="n">
        <v>3</v>
      </c>
      <c r="O113" s="1" t="n">
        <v>1</v>
      </c>
      <c r="P113" s="1" t="n">
        <f aca="false">IF(AND(L113="executa",K113=0,J113&gt;0),1,0)</f>
        <v>1</v>
      </c>
    </row>
    <row r="114" customFormat="false" ht="15" hidden="false" customHeight="true" outlineLevel="0" collapsed="false">
      <c r="A114" s="1" t="s">
        <v>23</v>
      </c>
      <c r="B114" s="1" t="s">
        <v>91</v>
      </c>
      <c r="C114" s="1" t="s">
        <v>66</v>
      </c>
      <c r="D114" s="1" t="s">
        <v>26</v>
      </c>
      <c r="E114" s="1" t="s">
        <v>27</v>
      </c>
      <c r="F114" s="1" t="s">
        <v>94</v>
      </c>
      <c r="H114" s="1" t="n">
        <v>0</v>
      </c>
      <c r="I114" s="1" t="n">
        <v>6</v>
      </c>
      <c r="J114" s="1" t="n">
        <v>6</v>
      </c>
      <c r="K114" s="1" t="n">
        <v>0</v>
      </c>
      <c r="L114" s="1" t="s">
        <v>29</v>
      </c>
      <c r="M114" s="1" t="n">
        <v>2</v>
      </c>
      <c r="O114" s="1" t="n">
        <v>0</v>
      </c>
      <c r="P114" s="1" t="n">
        <f aca="false">IF(AND(L114="executa",K114=0,J114&gt;0),1,0)</f>
        <v>1</v>
      </c>
    </row>
    <row r="115" customFormat="false" ht="15" hidden="false" customHeight="true" outlineLevel="0" collapsed="false">
      <c r="A115" s="1" t="s">
        <v>23</v>
      </c>
      <c r="B115" s="1" t="s">
        <v>91</v>
      </c>
      <c r="C115" s="1" t="s">
        <v>66</v>
      </c>
      <c r="D115" s="1" t="s">
        <v>36</v>
      </c>
      <c r="E115" s="1" t="s">
        <v>27</v>
      </c>
      <c r="F115" s="1" t="s">
        <v>95</v>
      </c>
      <c r="H115" s="1" t="n">
        <v>0</v>
      </c>
      <c r="I115" s="1" t="n">
        <v>4</v>
      </c>
      <c r="J115" s="1" t="n">
        <v>0</v>
      </c>
      <c r="K115" s="1" t="n">
        <v>4</v>
      </c>
      <c r="L115" s="1" t="s">
        <v>29</v>
      </c>
      <c r="M115" s="1" t="n">
        <v>3</v>
      </c>
      <c r="O115" s="1" t="n">
        <v>2</v>
      </c>
      <c r="P115" s="1" t="n">
        <f aca="false">IF(AND(L115="executa",K115=0,J115&gt;0),1,0)</f>
        <v>0</v>
      </c>
    </row>
    <row r="116" customFormat="false" ht="15" hidden="false" customHeight="true" outlineLevel="0" collapsed="false">
      <c r="A116" s="1" t="s">
        <v>23</v>
      </c>
      <c r="B116" s="1" t="s">
        <v>91</v>
      </c>
      <c r="C116" s="1" t="s">
        <v>66</v>
      </c>
      <c r="D116" s="1" t="s">
        <v>36</v>
      </c>
      <c r="E116" s="1" t="s">
        <v>27</v>
      </c>
      <c r="F116" s="1" t="s">
        <v>96</v>
      </c>
      <c r="H116" s="1" t="n">
        <v>0</v>
      </c>
      <c r="I116" s="1" t="n">
        <v>2</v>
      </c>
      <c r="J116" s="1" t="n">
        <v>1</v>
      </c>
      <c r="K116" s="1" t="n">
        <v>1</v>
      </c>
      <c r="L116" s="1" t="s">
        <v>29</v>
      </c>
      <c r="M116" s="1" t="n">
        <v>3</v>
      </c>
      <c r="O116" s="1" t="n">
        <v>0</v>
      </c>
      <c r="P116" s="1" t="n">
        <f aca="false">IF(AND(L116="executa",K116=0,J116&gt;0),1,0)</f>
        <v>0</v>
      </c>
    </row>
    <row r="117" customFormat="false" ht="15" hidden="false" customHeight="true" outlineLevel="0" collapsed="false">
      <c r="A117" s="1" t="s">
        <v>23</v>
      </c>
      <c r="B117" s="1" t="s">
        <v>91</v>
      </c>
      <c r="C117" s="1" t="s">
        <v>66</v>
      </c>
      <c r="D117" s="1" t="s">
        <v>36</v>
      </c>
      <c r="E117" s="1" t="s">
        <v>27</v>
      </c>
      <c r="F117" s="1" t="s">
        <v>97</v>
      </c>
      <c r="H117" s="1" t="n">
        <v>1</v>
      </c>
      <c r="I117" s="1" t="n">
        <v>2</v>
      </c>
      <c r="J117" s="1" t="n">
        <v>2</v>
      </c>
      <c r="K117" s="1" t="n">
        <v>0</v>
      </c>
      <c r="L117" s="1" t="s">
        <v>29</v>
      </c>
      <c r="M117" s="1" t="n">
        <v>0</v>
      </c>
      <c r="O117" s="1" t="n">
        <v>0</v>
      </c>
      <c r="P117" s="1" t="n">
        <f aca="false">IF(AND(L117="executa",K117=0,J117&gt;0),1,0)</f>
        <v>1</v>
      </c>
    </row>
    <row r="118" customFormat="false" ht="15" hidden="false" customHeight="true" outlineLevel="0" collapsed="false">
      <c r="A118" s="1" t="s">
        <v>23</v>
      </c>
      <c r="B118" s="1" t="s">
        <v>91</v>
      </c>
      <c r="C118" s="1" t="s">
        <v>66</v>
      </c>
      <c r="D118" s="1" t="s">
        <v>44</v>
      </c>
      <c r="E118" s="1" t="s">
        <v>27</v>
      </c>
      <c r="F118" s="1" t="s">
        <v>98</v>
      </c>
      <c r="H118" s="1" t="n">
        <v>0</v>
      </c>
      <c r="I118" s="1" t="n">
        <v>7</v>
      </c>
      <c r="J118" s="1" t="n">
        <v>6</v>
      </c>
      <c r="K118" s="1" t="n">
        <v>1</v>
      </c>
      <c r="L118" s="1" t="s">
        <v>29</v>
      </c>
      <c r="M118" s="1" t="n">
        <v>3</v>
      </c>
      <c r="O118" s="1" t="n">
        <v>0</v>
      </c>
      <c r="P118" s="1" t="n">
        <f aca="false">IF(AND(L118="executa",K118=0,J118&gt;0),1,0)</f>
        <v>0</v>
      </c>
    </row>
    <row r="119" customFormat="false" ht="15" hidden="false" customHeight="true" outlineLevel="0" collapsed="false">
      <c r="A119" s="1" t="s">
        <v>23</v>
      </c>
      <c r="B119" s="1" t="s">
        <v>91</v>
      </c>
      <c r="C119" s="1" t="s">
        <v>66</v>
      </c>
      <c r="D119" s="1" t="s">
        <v>44</v>
      </c>
      <c r="E119" s="1" t="s">
        <v>27</v>
      </c>
      <c r="F119" s="1" t="s">
        <v>99</v>
      </c>
      <c r="H119" s="1" t="n">
        <v>0</v>
      </c>
      <c r="I119" s="1" t="n">
        <v>4</v>
      </c>
      <c r="J119" s="1" t="n">
        <v>0</v>
      </c>
      <c r="K119" s="1" t="n">
        <v>4</v>
      </c>
      <c r="L119" s="1" t="s">
        <v>70</v>
      </c>
      <c r="M119" s="1" t="n">
        <v>3</v>
      </c>
      <c r="O119" s="1" t="n">
        <v>0</v>
      </c>
      <c r="P119" s="1" t="n">
        <f aca="false">IF(AND(L119="executa",K119=0,J119&gt;0),1,0)</f>
        <v>0</v>
      </c>
    </row>
    <row r="120" customFormat="false" ht="15" hidden="false" customHeight="true" outlineLevel="0" collapsed="false">
      <c r="A120" s="1" t="s">
        <v>23</v>
      </c>
      <c r="B120" s="1" t="s">
        <v>91</v>
      </c>
      <c r="C120" s="1" t="s">
        <v>66</v>
      </c>
      <c r="D120" s="1" t="s">
        <v>44</v>
      </c>
      <c r="E120" s="1" t="s">
        <v>27</v>
      </c>
      <c r="F120" s="1" t="s">
        <v>100</v>
      </c>
      <c r="H120" s="1" t="n">
        <v>1</v>
      </c>
      <c r="I120" s="1" t="n">
        <v>3</v>
      </c>
      <c r="J120" s="1" t="n">
        <v>3</v>
      </c>
      <c r="K120" s="1" t="n">
        <v>0</v>
      </c>
      <c r="L120" s="1" t="s">
        <v>29</v>
      </c>
      <c r="M120" s="1" t="n">
        <v>0</v>
      </c>
      <c r="O120" s="1" t="n">
        <v>0</v>
      </c>
      <c r="P120" s="1" t="n">
        <f aca="false">IF(AND(L120="executa",K120=0,J120&gt;0),1,0)</f>
        <v>1</v>
      </c>
    </row>
    <row r="121" customFormat="false" ht="15" hidden="false" customHeight="true" outlineLevel="0" collapsed="false">
      <c r="A121" s="1" t="s">
        <v>23</v>
      </c>
      <c r="B121" s="1" t="s">
        <v>91</v>
      </c>
      <c r="C121" s="1" t="s">
        <v>66</v>
      </c>
      <c r="D121" s="1" t="s">
        <v>26</v>
      </c>
      <c r="E121" s="1" t="s">
        <v>13</v>
      </c>
      <c r="F121" s="1" t="s">
        <v>101</v>
      </c>
      <c r="G121" s="1" t="s">
        <v>102</v>
      </c>
      <c r="H121" s="1" t="n">
        <v>1</v>
      </c>
      <c r="I121" s="1" t="n">
        <v>6</v>
      </c>
      <c r="J121" s="1" t="n">
        <v>2</v>
      </c>
      <c r="K121" s="1" t="n">
        <v>4</v>
      </c>
      <c r="L121" s="1" t="s">
        <v>29</v>
      </c>
      <c r="M121" s="1" t="n">
        <v>3</v>
      </c>
      <c r="N121" s="1" t="s">
        <v>90</v>
      </c>
      <c r="O121" s="1" t="n">
        <v>1</v>
      </c>
      <c r="P121" s="1" t="n">
        <f aca="false">IF(AND(L121="executa",K121=0,J121&gt;0),1,0)</f>
        <v>0</v>
      </c>
    </row>
    <row r="122" customFormat="false" ht="15" hidden="false" customHeight="true" outlineLevel="0" collapsed="false">
      <c r="A122" s="1" t="s">
        <v>23</v>
      </c>
      <c r="B122" s="1" t="s">
        <v>91</v>
      </c>
      <c r="C122" s="1" t="s">
        <v>66</v>
      </c>
      <c r="D122" s="1" t="s">
        <v>26</v>
      </c>
      <c r="E122" s="1" t="s">
        <v>13</v>
      </c>
      <c r="F122" s="1" t="s">
        <v>103</v>
      </c>
      <c r="G122" s="1" t="s">
        <v>104</v>
      </c>
      <c r="H122" s="1" t="n">
        <v>0</v>
      </c>
      <c r="I122" s="1" t="n">
        <v>4</v>
      </c>
      <c r="J122" s="1" t="n">
        <v>4</v>
      </c>
      <c r="K122" s="1" t="n">
        <v>0</v>
      </c>
      <c r="L122" s="1" t="s">
        <v>29</v>
      </c>
      <c r="M122" s="1" t="n">
        <v>1</v>
      </c>
      <c r="N122" s="1" t="s">
        <v>90</v>
      </c>
      <c r="O122" s="1" t="n">
        <v>0</v>
      </c>
      <c r="P122" s="1" t="n">
        <f aca="false">IF(AND(L122="executa",K122=0,J122&gt;0),1,0)</f>
        <v>1</v>
      </c>
    </row>
    <row r="123" customFormat="false" ht="15" hidden="false" customHeight="true" outlineLevel="0" collapsed="false">
      <c r="A123" s="1" t="s">
        <v>23</v>
      </c>
      <c r="B123" s="1" t="s">
        <v>91</v>
      </c>
      <c r="C123" s="1" t="s">
        <v>66</v>
      </c>
      <c r="D123" s="1" t="s">
        <v>36</v>
      </c>
      <c r="E123" s="1" t="s">
        <v>13</v>
      </c>
      <c r="F123" s="1" t="s">
        <v>105</v>
      </c>
      <c r="G123" s="1" t="s">
        <v>102</v>
      </c>
      <c r="H123" s="1" t="n">
        <v>0</v>
      </c>
      <c r="I123" s="1" t="n">
        <v>4</v>
      </c>
      <c r="J123" s="1" t="n">
        <v>1</v>
      </c>
      <c r="K123" s="1" t="n">
        <v>3</v>
      </c>
      <c r="L123" s="1" t="s">
        <v>29</v>
      </c>
      <c r="M123" s="1" t="n">
        <v>3</v>
      </c>
      <c r="N123" s="1" t="s">
        <v>81</v>
      </c>
      <c r="O123" s="1" t="n">
        <v>1</v>
      </c>
      <c r="P123" s="1" t="n">
        <f aca="false">IF(AND(L123="executa",K123=0,J123&gt;0),1,0)</f>
        <v>0</v>
      </c>
    </row>
    <row r="124" customFormat="false" ht="15" hidden="false" customHeight="true" outlineLevel="0" collapsed="false">
      <c r="A124" s="1" t="s">
        <v>23</v>
      </c>
      <c r="B124" s="1" t="s">
        <v>91</v>
      </c>
      <c r="C124" s="1" t="s">
        <v>66</v>
      </c>
      <c r="D124" s="1" t="s">
        <v>36</v>
      </c>
      <c r="E124" s="1" t="s">
        <v>13</v>
      </c>
      <c r="F124" s="1" t="s">
        <v>106</v>
      </c>
      <c r="G124" s="1" t="s">
        <v>104</v>
      </c>
      <c r="H124" s="1" t="n">
        <v>0</v>
      </c>
      <c r="I124" s="1" t="n">
        <v>2</v>
      </c>
      <c r="J124" s="1" t="n">
        <v>0</v>
      </c>
      <c r="K124" s="1" t="n">
        <v>2</v>
      </c>
      <c r="L124" s="1" t="s">
        <v>70</v>
      </c>
      <c r="M124" s="1" t="n">
        <v>2</v>
      </c>
      <c r="N124" s="1" t="s">
        <v>67</v>
      </c>
      <c r="O124" s="1" t="n">
        <v>0</v>
      </c>
      <c r="P124" s="1" t="n">
        <f aca="false">IF(AND(L124="executa",K124=0,J124&gt;0),1,0)</f>
        <v>0</v>
      </c>
    </row>
    <row r="125" customFormat="false" ht="15" hidden="false" customHeight="true" outlineLevel="0" collapsed="false">
      <c r="A125" s="1" t="s">
        <v>23</v>
      </c>
      <c r="B125" s="1" t="s">
        <v>91</v>
      </c>
      <c r="C125" s="1" t="s">
        <v>66</v>
      </c>
      <c r="D125" s="1" t="s">
        <v>44</v>
      </c>
      <c r="E125" s="1" t="s">
        <v>13</v>
      </c>
      <c r="F125" s="1" t="s">
        <v>107</v>
      </c>
      <c r="G125" s="1" t="s">
        <v>102</v>
      </c>
      <c r="H125" s="1" t="n">
        <v>0</v>
      </c>
      <c r="I125" s="1" t="n">
        <v>5</v>
      </c>
      <c r="J125" s="1" t="n">
        <v>1</v>
      </c>
      <c r="K125" s="1" t="n">
        <v>4</v>
      </c>
      <c r="L125" s="1" t="s">
        <v>29</v>
      </c>
      <c r="M125" s="1" t="n">
        <v>3</v>
      </c>
      <c r="N125" s="1" t="s">
        <v>81</v>
      </c>
      <c r="O125" s="1" t="n">
        <v>1</v>
      </c>
      <c r="P125" s="1" t="n">
        <f aca="false">IF(AND(L125="executa",K125=0,J125&gt;0),1,0)</f>
        <v>0</v>
      </c>
    </row>
    <row r="126" customFormat="false" ht="15" hidden="false" customHeight="true" outlineLevel="0" collapsed="false">
      <c r="A126" s="1" t="s">
        <v>23</v>
      </c>
      <c r="B126" s="1" t="s">
        <v>91</v>
      </c>
      <c r="C126" s="1" t="s">
        <v>66</v>
      </c>
      <c r="D126" s="1" t="s">
        <v>44</v>
      </c>
      <c r="E126" s="1" t="s">
        <v>13</v>
      </c>
      <c r="F126" s="1" t="s">
        <v>108</v>
      </c>
      <c r="G126" s="1" t="s">
        <v>104</v>
      </c>
      <c r="H126" s="1" t="n">
        <v>1</v>
      </c>
      <c r="I126" s="1" t="n">
        <v>2</v>
      </c>
      <c r="J126" s="1" t="n">
        <v>2</v>
      </c>
      <c r="K126" s="1" t="n">
        <v>0</v>
      </c>
      <c r="L126" s="1" t="s">
        <v>29</v>
      </c>
      <c r="M126" s="1" t="n">
        <v>1</v>
      </c>
      <c r="N126" s="1" t="s">
        <v>67</v>
      </c>
      <c r="O126" s="1" t="n">
        <v>0</v>
      </c>
      <c r="P126" s="1" t="n">
        <f aca="false">IF(AND(L126="executa",K126=0,J126&gt;0),1,0)</f>
        <v>1</v>
      </c>
    </row>
    <row r="127" customFormat="false" ht="15" hidden="false" customHeight="true" outlineLevel="0" collapsed="false">
      <c r="A127" s="1" t="s">
        <v>23</v>
      </c>
      <c r="B127" s="1" t="s">
        <v>91</v>
      </c>
      <c r="C127" s="1" t="s">
        <v>66</v>
      </c>
      <c r="D127" s="1" t="s">
        <v>26</v>
      </c>
      <c r="E127" s="1" t="s">
        <v>88</v>
      </c>
      <c r="F127" s="1" t="s">
        <v>109</v>
      </c>
      <c r="G127" s="1" t="s">
        <v>102</v>
      </c>
      <c r="H127" s="1" t="n">
        <v>0</v>
      </c>
      <c r="I127" s="1" t="n">
        <v>8</v>
      </c>
      <c r="J127" s="1" t="n">
        <v>4</v>
      </c>
      <c r="K127" s="1" t="n">
        <v>4</v>
      </c>
      <c r="L127" s="1" t="s">
        <v>29</v>
      </c>
      <c r="M127" s="1" t="n">
        <v>3</v>
      </c>
      <c r="O127" s="1" t="n">
        <v>2</v>
      </c>
      <c r="P127" s="1" t="n">
        <f aca="false">IF(AND(L127="executa",K127=0,J127&gt;0),1,0)</f>
        <v>0</v>
      </c>
    </row>
    <row r="128" customFormat="false" ht="15" hidden="false" customHeight="true" outlineLevel="0" collapsed="false">
      <c r="A128" s="1" t="s">
        <v>23</v>
      </c>
      <c r="B128" s="1" t="s">
        <v>91</v>
      </c>
      <c r="C128" s="1" t="s">
        <v>66</v>
      </c>
      <c r="D128" s="1" t="s">
        <v>36</v>
      </c>
      <c r="E128" s="1" t="s">
        <v>88</v>
      </c>
      <c r="F128" s="1" t="s">
        <v>110</v>
      </c>
      <c r="G128" s="1" t="s">
        <v>102</v>
      </c>
      <c r="H128" s="1" t="n">
        <v>0</v>
      </c>
      <c r="I128" s="1" t="n">
        <v>2</v>
      </c>
      <c r="J128" s="1" t="n">
        <v>0</v>
      </c>
      <c r="K128" s="1" t="n">
        <v>2</v>
      </c>
      <c r="L128" s="1" t="s">
        <v>70</v>
      </c>
      <c r="M128" s="1" t="n">
        <v>2</v>
      </c>
      <c r="O128" s="1" t="n">
        <v>1</v>
      </c>
      <c r="P128" s="1" t="n">
        <f aca="false">IF(AND(L128="executa",K128=0,J128&gt;0),1,0)</f>
        <v>0</v>
      </c>
    </row>
    <row r="129" customFormat="false" ht="15" hidden="false" customHeight="true" outlineLevel="0" collapsed="false">
      <c r="A129" s="1" t="s">
        <v>23</v>
      </c>
      <c r="B129" s="1" t="s">
        <v>91</v>
      </c>
      <c r="C129" s="1" t="s">
        <v>66</v>
      </c>
      <c r="D129" s="1" t="s">
        <v>44</v>
      </c>
      <c r="E129" s="1" t="s">
        <v>88</v>
      </c>
      <c r="F129" s="1" t="s">
        <v>111</v>
      </c>
      <c r="G129" s="1" t="s">
        <v>102</v>
      </c>
      <c r="H129" s="1" t="n">
        <v>0</v>
      </c>
      <c r="I129" s="1" t="n">
        <v>0</v>
      </c>
      <c r="J129" s="1" t="n">
        <v>0</v>
      </c>
      <c r="K129" s="1" t="n">
        <v>0</v>
      </c>
      <c r="L129" s="1" t="s">
        <v>113</v>
      </c>
      <c r="M129" s="1" t="n">
        <v>0</v>
      </c>
      <c r="O129" s="1" t="n">
        <v>0</v>
      </c>
      <c r="P129" s="1" t="n">
        <f aca="false">IF(AND(L129="executa",K129=0,J129&gt;0),1,0)</f>
        <v>0</v>
      </c>
    </row>
    <row r="130" customFormat="false" ht="15" hidden="false" customHeight="true" outlineLevel="0" collapsed="false">
      <c r="A130" s="1" t="s">
        <v>114</v>
      </c>
      <c r="B130" s="1" t="s">
        <v>115</v>
      </c>
      <c r="C130" s="1" t="s">
        <v>25</v>
      </c>
      <c r="D130" s="1" t="s">
        <v>26</v>
      </c>
      <c r="E130" s="1" t="s">
        <v>27</v>
      </c>
      <c r="F130" s="1" t="s">
        <v>116</v>
      </c>
      <c r="H130" s="1" t="n">
        <v>1</v>
      </c>
      <c r="I130" s="1" t="n">
        <v>8</v>
      </c>
      <c r="J130" s="1" t="n">
        <v>8</v>
      </c>
      <c r="K130" s="1" t="n">
        <v>0</v>
      </c>
      <c r="L130" s="1" t="s">
        <v>29</v>
      </c>
      <c r="M130" s="1" t="n">
        <v>1</v>
      </c>
      <c r="O130" s="1" t="n">
        <v>0</v>
      </c>
      <c r="P130" s="1" t="n">
        <f aca="false">IF(AND(L130="executa",K130=0,J130&gt;0),1,0)</f>
        <v>1</v>
      </c>
    </row>
    <row r="131" customFormat="false" ht="15" hidden="false" customHeight="true" outlineLevel="0" collapsed="false">
      <c r="A131" s="1" t="s">
        <v>114</v>
      </c>
      <c r="B131" s="1" t="s">
        <v>115</v>
      </c>
      <c r="C131" s="1" t="s">
        <v>25</v>
      </c>
      <c r="D131" s="1" t="s">
        <v>26</v>
      </c>
      <c r="E131" s="1" t="s">
        <v>27</v>
      </c>
      <c r="F131" s="1" t="s">
        <v>117</v>
      </c>
      <c r="H131" s="1" t="n">
        <v>0</v>
      </c>
      <c r="I131" s="1" t="n">
        <v>11</v>
      </c>
      <c r="J131" s="1" t="n">
        <v>4</v>
      </c>
      <c r="K131" s="1" t="n">
        <v>7</v>
      </c>
      <c r="L131" s="1" t="s">
        <v>29</v>
      </c>
      <c r="M131" s="1" t="n">
        <v>3</v>
      </c>
      <c r="O131" s="1" t="n">
        <v>2</v>
      </c>
      <c r="P131" s="1" t="n">
        <f aca="false">IF(AND(L131="executa",K131=0,J131&gt;0),1,0)</f>
        <v>0</v>
      </c>
    </row>
    <row r="132" customFormat="false" ht="15" hidden="false" customHeight="true" outlineLevel="0" collapsed="false">
      <c r="A132" s="1" t="s">
        <v>114</v>
      </c>
      <c r="B132" s="1" t="s">
        <v>115</v>
      </c>
      <c r="C132" s="1" t="s">
        <v>25</v>
      </c>
      <c r="D132" s="1" t="s">
        <v>26</v>
      </c>
      <c r="E132" s="1" t="s">
        <v>27</v>
      </c>
      <c r="F132" s="1" t="s">
        <v>118</v>
      </c>
      <c r="H132" s="1" t="n">
        <v>0</v>
      </c>
      <c r="I132" s="1" t="n">
        <v>4</v>
      </c>
      <c r="J132" s="1" t="n">
        <v>0</v>
      </c>
      <c r="K132" s="1" t="n">
        <v>4</v>
      </c>
      <c r="L132" s="1" t="s">
        <v>29</v>
      </c>
      <c r="M132" s="1" t="n">
        <v>3</v>
      </c>
      <c r="O132" s="1" t="n">
        <v>1</v>
      </c>
      <c r="P132" s="1" t="n">
        <f aca="false">IF(AND(L132="executa",K132=0,J132&gt;0),1,0)</f>
        <v>0</v>
      </c>
    </row>
    <row r="133" customFormat="false" ht="15" hidden="false" customHeight="true" outlineLevel="0" collapsed="false">
      <c r="A133" s="1" t="s">
        <v>114</v>
      </c>
      <c r="B133" s="1" t="s">
        <v>115</v>
      </c>
      <c r="C133" s="1" t="s">
        <v>25</v>
      </c>
      <c r="D133" s="1" t="s">
        <v>36</v>
      </c>
      <c r="E133" s="1" t="s">
        <v>27</v>
      </c>
      <c r="F133" s="1" t="s">
        <v>119</v>
      </c>
      <c r="H133" s="1" t="n">
        <v>1</v>
      </c>
      <c r="I133" s="1" t="n">
        <v>2</v>
      </c>
      <c r="J133" s="1" t="n">
        <v>1</v>
      </c>
      <c r="K133" s="1" t="n">
        <v>1</v>
      </c>
      <c r="L133" s="1" t="s">
        <v>29</v>
      </c>
      <c r="M133" s="1" t="n">
        <v>3</v>
      </c>
      <c r="O133" s="1" t="n">
        <v>3</v>
      </c>
      <c r="P133" s="1" t="n">
        <f aca="false">IF(AND(L133="executa",K133=0,J133&gt;0),1,0)</f>
        <v>0</v>
      </c>
    </row>
    <row r="134" customFormat="false" ht="15" hidden="false" customHeight="true" outlineLevel="0" collapsed="false">
      <c r="A134" s="1" t="s">
        <v>114</v>
      </c>
      <c r="B134" s="1" t="s">
        <v>115</v>
      </c>
      <c r="C134" s="1" t="s">
        <v>25</v>
      </c>
      <c r="D134" s="1" t="s">
        <v>36</v>
      </c>
      <c r="E134" s="1" t="s">
        <v>27</v>
      </c>
      <c r="F134" s="1" t="s">
        <v>120</v>
      </c>
      <c r="H134" s="1" t="n">
        <v>0</v>
      </c>
      <c r="I134" s="1" t="n">
        <v>1</v>
      </c>
      <c r="J134" s="1" t="n">
        <v>0</v>
      </c>
      <c r="K134" s="1" t="n">
        <v>1</v>
      </c>
      <c r="L134" s="1" t="s">
        <v>29</v>
      </c>
      <c r="M134" s="1" t="n">
        <v>3</v>
      </c>
      <c r="O134" s="1" t="n">
        <v>0</v>
      </c>
      <c r="P134" s="1" t="n">
        <f aca="false">IF(AND(L134="executa",K134=0,J134&gt;0),1,0)</f>
        <v>0</v>
      </c>
    </row>
    <row r="135" customFormat="false" ht="15" hidden="false" customHeight="true" outlineLevel="0" collapsed="false">
      <c r="A135" s="1" t="s">
        <v>114</v>
      </c>
      <c r="B135" s="1" t="s">
        <v>115</v>
      </c>
      <c r="C135" s="1" t="s">
        <v>25</v>
      </c>
      <c r="D135" s="1" t="s">
        <v>36</v>
      </c>
      <c r="E135" s="1" t="s">
        <v>27</v>
      </c>
      <c r="F135" s="1" t="s">
        <v>121</v>
      </c>
      <c r="H135" s="1" t="n">
        <v>0</v>
      </c>
      <c r="I135" s="1" t="n">
        <v>1</v>
      </c>
      <c r="J135" s="1" t="n">
        <v>1</v>
      </c>
      <c r="K135" s="1" t="n">
        <v>0</v>
      </c>
      <c r="L135" s="1" t="s">
        <v>29</v>
      </c>
      <c r="M135" s="1" t="n">
        <v>1</v>
      </c>
      <c r="O135" s="1" t="n">
        <v>0</v>
      </c>
      <c r="P135" s="1" t="n">
        <f aca="false">IF(AND(L135="executa",K135=0,J135&gt;0),1,0)</f>
        <v>1</v>
      </c>
    </row>
    <row r="136" customFormat="false" ht="15" hidden="false" customHeight="true" outlineLevel="0" collapsed="false">
      <c r="A136" s="1" t="s">
        <v>114</v>
      </c>
      <c r="B136" s="1" t="s">
        <v>115</v>
      </c>
      <c r="C136" s="1" t="s">
        <v>25</v>
      </c>
      <c r="D136" s="1" t="s">
        <v>44</v>
      </c>
      <c r="E136" s="1" t="s">
        <v>27</v>
      </c>
      <c r="F136" s="1" t="s">
        <v>122</v>
      </c>
      <c r="H136" s="1" t="n">
        <v>1</v>
      </c>
      <c r="I136" s="1" t="n">
        <v>9</v>
      </c>
      <c r="J136" s="1" t="n">
        <v>8</v>
      </c>
      <c r="K136" s="1" t="n">
        <v>1</v>
      </c>
      <c r="L136" s="1" t="s">
        <v>29</v>
      </c>
      <c r="M136" s="1" t="n">
        <v>3</v>
      </c>
      <c r="O136" s="1" t="n">
        <v>3</v>
      </c>
      <c r="P136" s="1" t="n">
        <f aca="false">IF(AND(L136="executa",K136=0,J136&gt;0),1,0)</f>
        <v>0</v>
      </c>
    </row>
    <row r="137" customFormat="false" ht="15" hidden="false" customHeight="true" outlineLevel="0" collapsed="false">
      <c r="A137" s="1" t="s">
        <v>114</v>
      </c>
      <c r="B137" s="1" t="s">
        <v>115</v>
      </c>
      <c r="C137" s="1" t="s">
        <v>25</v>
      </c>
      <c r="D137" s="1" t="s">
        <v>44</v>
      </c>
      <c r="E137" s="1" t="s">
        <v>27</v>
      </c>
      <c r="F137" s="1" t="s">
        <v>123</v>
      </c>
      <c r="H137" s="1" t="n">
        <v>1</v>
      </c>
      <c r="I137" s="1" t="n">
        <v>5</v>
      </c>
      <c r="J137" s="1" t="n">
        <v>2</v>
      </c>
      <c r="K137" s="1" t="n">
        <v>3</v>
      </c>
      <c r="L137" s="1" t="s">
        <v>29</v>
      </c>
      <c r="M137" s="1" t="n">
        <v>3</v>
      </c>
      <c r="O137" s="1" t="n">
        <v>1</v>
      </c>
      <c r="P137" s="1" t="n">
        <f aca="false">IF(AND(L137="executa",K137=0,J137&gt;0),1,0)</f>
        <v>0</v>
      </c>
    </row>
    <row r="138" customFormat="false" ht="15" hidden="false" customHeight="true" outlineLevel="0" collapsed="false">
      <c r="A138" s="1" t="s">
        <v>114</v>
      </c>
      <c r="B138" s="1" t="s">
        <v>115</v>
      </c>
      <c r="C138" s="1" t="s">
        <v>25</v>
      </c>
      <c r="D138" s="1" t="s">
        <v>44</v>
      </c>
      <c r="E138" s="1" t="s">
        <v>27</v>
      </c>
      <c r="F138" s="1" t="s">
        <v>124</v>
      </c>
      <c r="H138" s="1" t="n">
        <v>0</v>
      </c>
      <c r="I138" s="1" t="n">
        <v>2</v>
      </c>
      <c r="J138" s="1" t="n">
        <v>2</v>
      </c>
      <c r="K138" s="1" t="n">
        <v>0</v>
      </c>
      <c r="L138" s="1" t="s">
        <v>29</v>
      </c>
      <c r="M138" s="1" t="n">
        <v>2</v>
      </c>
      <c r="O138" s="1" t="n">
        <v>1</v>
      </c>
      <c r="P138" s="1" t="n">
        <f aca="false">IF(AND(L138="executa",K138=0,J138&gt;0),1,0)</f>
        <v>1</v>
      </c>
    </row>
    <row r="139" customFormat="false" ht="15" hidden="false" customHeight="true" outlineLevel="0" collapsed="false">
      <c r="A139" s="1" t="s">
        <v>114</v>
      </c>
      <c r="B139" s="1" t="s">
        <v>115</v>
      </c>
      <c r="C139" s="1" t="s">
        <v>25</v>
      </c>
      <c r="D139" s="1" t="s">
        <v>26</v>
      </c>
      <c r="E139" s="1" t="s">
        <v>13</v>
      </c>
      <c r="F139" s="1" t="s">
        <v>125</v>
      </c>
      <c r="G139" s="1" t="s">
        <v>126</v>
      </c>
      <c r="H139" s="1" t="n">
        <v>1</v>
      </c>
      <c r="I139" s="1" t="n">
        <v>7</v>
      </c>
      <c r="J139" s="1" t="n">
        <v>6</v>
      </c>
      <c r="K139" s="1" t="n">
        <v>1</v>
      </c>
      <c r="L139" s="1" t="s">
        <v>29</v>
      </c>
      <c r="M139" s="1" t="n">
        <v>3</v>
      </c>
      <c r="N139" s="1" t="s">
        <v>58</v>
      </c>
      <c r="O139" s="1" t="n">
        <v>1</v>
      </c>
      <c r="P139" s="1" t="n">
        <f aca="false">IF(AND(L139="executa",K139=0,J139&gt;0),1,0)</f>
        <v>0</v>
      </c>
    </row>
    <row r="140" customFormat="false" ht="15" hidden="false" customHeight="true" outlineLevel="0" collapsed="false">
      <c r="A140" s="1" t="s">
        <v>114</v>
      </c>
      <c r="B140" s="1" t="s">
        <v>115</v>
      </c>
      <c r="C140" s="1" t="s">
        <v>25</v>
      </c>
      <c r="D140" s="1" t="s">
        <v>26</v>
      </c>
      <c r="E140" s="1" t="s">
        <v>13</v>
      </c>
      <c r="F140" s="1" t="s">
        <v>127</v>
      </c>
      <c r="G140" s="1" t="s">
        <v>128</v>
      </c>
      <c r="H140" s="1" t="n">
        <v>0</v>
      </c>
      <c r="I140" s="1" t="n">
        <v>4</v>
      </c>
      <c r="J140" s="1" t="n">
        <v>0</v>
      </c>
      <c r="K140" s="1" t="n">
        <v>4</v>
      </c>
      <c r="L140" s="1" t="s">
        <v>70</v>
      </c>
      <c r="M140" s="1" t="n">
        <v>3</v>
      </c>
      <c r="N140" s="1" t="s">
        <v>81</v>
      </c>
      <c r="O140" s="1" t="n">
        <v>0</v>
      </c>
      <c r="P140" s="1" t="n">
        <f aca="false">IF(AND(L140="executa",K140=0,J140&gt;0),1,0)</f>
        <v>0</v>
      </c>
    </row>
    <row r="141" customFormat="false" ht="15" hidden="false" customHeight="true" outlineLevel="0" collapsed="false">
      <c r="A141" s="1" t="s">
        <v>114</v>
      </c>
      <c r="B141" s="1" t="s">
        <v>115</v>
      </c>
      <c r="C141" s="1" t="s">
        <v>25</v>
      </c>
      <c r="D141" s="1" t="s">
        <v>36</v>
      </c>
      <c r="E141" s="1" t="s">
        <v>13</v>
      </c>
      <c r="F141" s="1" t="s">
        <v>129</v>
      </c>
      <c r="G141" s="1" t="s">
        <v>130</v>
      </c>
      <c r="H141" s="1" t="n">
        <v>0</v>
      </c>
      <c r="I141" s="1" t="n">
        <v>1</v>
      </c>
      <c r="J141" s="1" t="n">
        <v>0</v>
      </c>
      <c r="K141" s="1" t="n">
        <v>1</v>
      </c>
      <c r="L141" s="1" t="s">
        <v>29</v>
      </c>
      <c r="M141" s="1" t="n">
        <v>3</v>
      </c>
      <c r="N141" s="1" t="s">
        <v>81</v>
      </c>
      <c r="O141" s="1" t="n">
        <v>1</v>
      </c>
      <c r="P141" s="1" t="n">
        <f aca="false">IF(AND(L141="executa",K141=0,J141&gt;0),1,0)</f>
        <v>0</v>
      </c>
    </row>
    <row r="142" customFormat="false" ht="15" hidden="false" customHeight="true" outlineLevel="0" collapsed="false">
      <c r="A142" s="1" t="s">
        <v>114</v>
      </c>
      <c r="B142" s="1" t="s">
        <v>115</v>
      </c>
      <c r="C142" s="1" t="s">
        <v>25</v>
      </c>
      <c r="D142" s="1" t="s">
        <v>36</v>
      </c>
      <c r="E142" s="1" t="s">
        <v>13</v>
      </c>
      <c r="F142" s="1" t="s">
        <v>131</v>
      </c>
      <c r="G142" s="1" t="s">
        <v>126</v>
      </c>
      <c r="H142" s="1" t="n">
        <v>1</v>
      </c>
      <c r="I142" s="1" t="n">
        <v>2</v>
      </c>
      <c r="J142" s="1" t="n">
        <v>1</v>
      </c>
      <c r="K142" s="1" t="n">
        <v>1</v>
      </c>
      <c r="L142" s="1" t="s">
        <v>29</v>
      </c>
      <c r="M142" s="1" t="n">
        <v>3</v>
      </c>
      <c r="N142" s="1" t="s">
        <v>58</v>
      </c>
      <c r="O142" s="1" t="n">
        <v>3</v>
      </c>
      <c r="P142" s="1" t="n">
        <f aca="false">IF(AND(L142="executa",K142=0,J142&gt;0),1,0)</f>
        <v>0</v>
      </c>
    </row>
    <row r="143" customFormat="false" ht="15" hidden="false" customHeight="true" outlineLevel="0" collapsed="false">
      <c r="A143" s="1" t="s">
        <v>114</v>
      </c>
      <c r="B143" s="1" t="s">
        <v>115</v>
      </c>
      <c r="C143" s="1" t="s">
        <v>25</v>
      </c>
      <c r="D143" s="1" t="s">
        <v>36</v>
      </c>
      <c r="E143" s="1" t="s">
        <v>13</v>
      </c>
      <c r="F143" s="1" t="s">
        <v>132</v>
      </c>
      <c r="G143" s="1" t="s">
        <v>128</v>
      </c>
      <c r="H143" s="1" t="n">
        <v>0</v>
      </c>
      <c r="I143" s="1" t="n">
        <v>1</v>
      </c>
      <c r="J143" s="1" t="n">
        <v>0</v>
      </c>
      <c r="K143" s="1" t="n">
        <v>1</v>
      </c>
      <c r="L143" s="1" t="s">
        <v>29</v>
      </c>
      <c r="M143" s="1" t="n">
        <v>3</v>
      </c>
      <c r="N143" s="1" t="s">
        <v>58</v>
      </c>
      <c r="O143" s="1" t="n">
        <v>1</v>
      </c>
      <c r="P143" s="1" t="n">
        <f aca="false">IF(AND(L143="executa",K143=0,J143&gt;0),1,0)</f>
        <v>0</v>
      </c>
    </row>
    <row r="144" customFormat="false" ht="15" hidden="false" customHeight="true" outlineLevel="0" collapsed="false">
      <c r="A144" s="1" t="s">
        <v>114</v>
      </c>
      <c r="B144" s="1" t="s">
        <v>115</v>
      </c>
      <c r="C144" s="1" t="s">
        <v>25</v>
      </c>
      <c r="D144" s="1" t="s">
        <v>44</v>
      </c>
      <c r="E144" s="1" t="s">
        <v>13</v>
      </c>
      <c r="F144" s="1" t="s">
        <v>133</v>
      </c>
      <c r="G144" s="1" t="s">
        <v>130</v>
      </c>
      <c r="H144" s="1" t="n">
        <v>0</v>
      </c>
      <c r="I144" s="1" t="n">
        <v>4</v>
      </c>
      <c r="J144" s="1" t="n">
        <v>3</v>
      </c>
      <c r="K144" s="1" t="n">
        <v>1</v>
      </c>
      <c r="L144" s="1" t="s">
        <v>29</v>
      </c>
      <c r="M144" s="1" t="n">
        <v>3</v>
      </c>
      <c r="N144" s="1" t="s">
        <v>81</v>
      </c>
      <c r="O144" s="1" t="n">
        <v>1</v>
      </c>
      <c r="P144" s="1" t="n">
        <f aca="false">IF(AND(L144="executa",K144=0,J144&gt;0),1,0)</f>
        <v>0</v>
      </c>
    </row>
    <row r="145" customFormat="false" ht="15" hidden="false" customHeight="true" outlineLevel="0" collapsed="false">
      <c r="A145" s="1" t="s">
        <v>114</v>
      </c>
      <c r="B145" s="1" t="s">
        <v>115</v>
      </c>
      <c r="C145" s="1" t="s">
        <v>25</v>
      </c>
      <c r="D145" s="1" t="s">
        <v>44</v>
      </c>
      <c r="E145" s="1" t="s">
        <v>13</v>
      </c>
      <c r="F145" s="1" t="s">
        <v>134</v>
      </c>
      <c r="G145" s="1" t="s">
        <v>126</v>
      </c>
      <c r="H145" s="1" t="n">
        <v>1</v>
      </c>
      <c r="I145" s="1" t="n">
        <v>5</v>
      </c>
      <c r="J145" s="1" t="n">
        <v>4</v>
      </c>
      <c r="K145" s="1" t="n">
        <v>1</v>
      </c>
      <c r="L145" s="1" t="s">
        <v>29</v>
      </c>
      <c r="M145" s="1" t="n">
        <v>3</v>
      </c>
      <c r="N145" s="1" t="s">
        <v>58</v>
      </c>
      <c r="O145" s="1" t="n">
        <v>2</v>
      </c>
      <c r="P145" s="1" t="n">
        <f aca="false">IF(AND(L145="executa",K145=0,J145&gt;0),1,0)</f>
        <v>0</v>
      </c>
    </row>
    <row r="146" customFormat="false" ht="15" hidden="false" customHeight="true" outlineLevel="0" collapsed="false">
      <c r="A146" s="1" t="s">
        <v>114</v>
      </c>
      <c r="B146" s="1" t="s">
        <v>115</v>
      </c>
      <c r="C146" s="1" t="s">
        <v>25</v>
      </c>
      <c r="D146" s="1" t="s">
        <v>26</v>
      </c>
      <c r="E146" s="1" t="s">
        <v>135</v>
      </c>
      <c r="F146" s="1" t="s">
        <v>136</v>
      </c>
      <c r="G146" s="1" t="s">
        <v>130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s">
        <v>137</v>
      </c>
      <c r="M146" s="1" t="n">
        <v>0</v>
      </c>
      <c r="N146" s="1" t="s">
        <v>138</v>
      </c>
      <c r="O146" s="1" t="n">
        <v>0</v>
      </c>
      <c r="P146" s="1" t="n">
        <f aca="false">IF(AND(L146="executa",K146=0,J146&gt;0),1,0)</f>
        <v>0</v>
      </c>
    </row>
    <row r="147" customFormat="false" ht="15" hidden="false" customHeight="true" outlineLevel="0" collapsed="false">
      <c r="A147" s="1" t="s">
        <v>114</v>
      </c>
      <c r="B147" s="1" t="s">
        <v>115</v>
      </c>
      <c r="C147" s="1" t="s">
        <v>25</v>
      </c>
      <c r="D147" s="1" t="s">
        <v>44</v>
      </c>
      <c r="E147" s="1" t="s">
        <v>135</v>
      </c>
      <c r="F147" s="1" t="s">
        <v>139</v>
      </c>
      <c r="G147" s="1" t="s">
        <v>128</v>
      </c>
      <c r="H147" s="1" t="n">
        <v>0</v>
      </c>
      <c r="I147" s="1" t="n">
        <v>0</v>
      </c>
      <c r="J147" s="1" t="n">
        <v>0</v>
      </c>
      <c r="K147" s="1" t="n">
        <v>0</v>
      </c>
      <c r="L147" s="1" t="s">
        <v>137</v>
      </c>
      <c r="M147" s="1" t="n">
        <v>0</v>
      </c>
      <c r="N147" s="1" t="s">
        <v>138</v>
      </c>
      <c r="O147" s="1" t="n">
        <v>0</v>
      </c>
      <c r="P147" s="1" t="n">
        <f aca="false">IF(AND(L147="executa",K147=0,J147&gt;0),1,0)</f>
        <v>0</v>
      </c>
    </row>
    <row r="148" customFormat="false" ht="15" hidden="false" customHeight="true" outlineLevel="0" collapsed="false">
      <c r="A148" s="1" t="s">
        <v>114</v>
      </c>
      <c r="B148" s="1" t="s">
        <v>115</v>
      </c>
      <c r="C148" s="1" t="s">
        <v>66</v>
      </c>
      <c r="D148" s="1" t="s">
        <v>26</v>
      </c>
      <c r="E148" s="1" t="s">
        <v>27</v>
      </c>
      <c r="F148" s="1" t="s">
        <v>116</v>
      </c>
      <c r="H148" s="1" t="n">
        <v>1</v>
      </c>
      <c r="I148" s="1" t="n">
        <v>5</v>
      </c>
      <c r="J148" s="1" t="n">
        <v>4</v>
      </c>
      <c r="K148" s="1" t="n">
        <v>1</v>
      </c>
      <c r="L148" s="1" t="s">
        <v>29</v>
      </c>
      <c r="M148" s="1" t="n">
        <v>3</v>
      </c>
      <c r="O148" s="1" t="n">
        <v>2</v>
      </c>
      <c r="P148" s="1" t="n">
        <f aca="false">IF(AND(L148="executa",K148=0,J148&gt;0),1,0)</f>
        <v>0</v>
      </c>
    </row>
    <row r="149" customFormat="false" ht="15" hidden="false" customHeight="true" outlineLevel="0" collapsed="false">
      <c r="A149" s="1" t="s">
        <v>114</v>
      </c>
      <c r="B149" s="1" t="s">
        <v>115</v>
      </c>
      <c r="C149" s="1" t="s">
        <v>66</v>
      </c>
      <c r="D149" s="1" t="s">
        <v>26</v>
      </c>
      <c r="E149" s="1" t="s">
        <v>27</v>
      </c>
      <c r="F149" s="1" t="s">
        <v>117</v>
      </c>
      <c r="H149" s="1" t="n">
        <v>1</v>
      </c>
      <c r="I149" s="1" t="n">
        <v>4</v>
      </c>
      <c r="J149" s="1" t="n">
        <v>3</v>
      </c>
      <c r="K149" s="1" t="n">
        <v>1</v>
      </c>
      <c r="L149" s="1" t="s">
        <v>29</v>
      </c>
      <c r="M149" s="1" t="n">
        <v>3</v>
      </c>
      <c r="O149" s="1" t="n">
        <v>0</v>
      </c>
      <c r="P149" s="1" t="n">
        <f aca="false">IF(AND(L149="executa",K149=0,J149&gt;0),1,0)</f>
        <v>0</v>
      </c>
    </row>
    <row r="150" customFormat="false" ht="15" hidden="false" customHeight="true" outlineLevel="0" collapsed="false">
      <c r="A150" s="1" t="s">
        <v>114</v>
      </c>
      <c r="B150" s="1" t="s">
        <v>115</v>
      </c>
      <c r="C150" s="1" t="s">
        <v>66</v>
      </c>
      <c r="D150" s="1" t="s">
        <v>26</v>
      </c>
      <c r="E150" s="1" t="s">
        <v>27</v>
      </c>
      <c r="F150" s="1" t="s">
        <v>118</v>
      </c>
      <c r="H150" s="1" t="n">
        <v>1</v>
      </c>
      <c r="I150" s="1" t="n">
        <v>4</v>
      </c>
      <c r="J150" s="1" t="n">
        <v>4</v>
      </c>
      <c r="K150" s="1" t="n">
        <v>0</v>
      </c>
      <c r="L150" s="1" t="s">
        <v>29</v>
      </c>
      <c r="M150" s="1" t="n">
        <v>1</v>
      </c>
      <c r="O150" s="1" t="n">
        <v>0</v>
      </c>
      <c r="P150" s="1" t="n">
        <f aca="false">IF(AND(L150="executa",K150=0,J150&gt;0),1,0)</f>
        <v>1</v>
      </c>
    </row>
    <row r="151" customFormat="false" ht="15" hidden="false" customHeight="true" outlineLevel="0" collapsed="false">
      <c r="A151" s="1" t="s">
        <v>114</v>
      </c>
      <c r="B151" s="1" t="s">
        <v>115</v>
      </c>
      <c r="C151" s="1" t="s">
        <v>66</v>
      </c>
      <c r="D151" s="1" t="s">
        <v>36</v>
      </c>
      <c r="E151" s="1" t="s">
        <v>27</v>
      </c>
      <c r="F151" s="1" t="s">
        <v>119</v>
      </c>
      <c r="H151" s="1" t="n">
        <v>1</v>
      </c>
      <c r="I151" s="1" t="n">
        <v>2</v>
      </c>
      <c r="J151" s="1" t="n">
        <v>1</v>
      </c>
      <c r="K151" s="1" t="n">
        <v>1</v>
      </c>
      <c r="L151" s="1" t="s">
        <v>29</v>
      </c>
      <c r="M151" s="1" t="n">
        <v>3</v>
      </c>
      <c r="O151" s="1" t="n">
        <v>3</v>
      </c>
      <c r="P151" s="1" t="n">
        <f aca="false">IF(AND(L151="executa",K151=0,J151&gt;0),1,0)</f>
        <v>0</v>
      </c>
    </row>
    <row r="152" customFormat="false" ht="15" hidden="false" customHeight="true" outlineLevel="0" collapsed="false">
      <c r="A152" s="1" t="s">
        <v>114</v>
      </c>
      <c r="B152" s="1" t="s">
        <v>115</v>
      </c>
      <c r="C152" s="1" t="s">
        <v>66</v>
      </c>
      <c r="D152" s="1" t="s">
        <v>36</v>
      </c>
      <c r="E152" s="1" t="s">
        <v>27</v>
      </c>
      <c r="F152" s="1" t="s">
        <v>120</v>
      </c>
      <c r="H152" s="1" t="n">
        <v>1</v>
      </c>
      <c r="I152" s="1" t="n">
        <v>1</v>
      </c>
      <c r="J152" s="1" t="n">
        <v>1</v>
      </c>
      <c r="K152" s="1" t="n">
        <v>0</v>
      </c>
      <c r="L152" s="1" t="s">
        <v>29</v>
      </c>
      <c r="M152" s="1" t="n">
        <v>3</v>
      </c>
      <c r="O152" s="1" t="n">
        <v>2</v>
      </c>
      <c r="P152" s="1" t="n">
        <f aca="false">IF(AND(L152="executa",K152=0,J152&gt;0),1,0)</f>
        <v>1</v>
      </c>
    </row>
    <row r="153" customFormat="false" ht="15" hidden="false" customHeight="true" outlineLevel="0" collapsed="false">
      <c r="A153" s="1" t="s">
        <v>114</v>
      </c>
      <c r="B153" s="1" t="s">
        <v>115</v>
      </c>
      <c r="C153" s="1" t="s">
        <v>66</v>
      </c>
      <c r="D153" s="1" t="s">
        <v>36</v>
      </c>
      <c r="E153" s="1" t="s">
        <v>27</v>
      </c>
      <c r="F153" s="1" t="s">
        <v>121</v>
      </c>
      <c r="H153" s="1" t="n">
        <v>1</v>
      </c>
      <c r="I153" s="1" t="n">
        <v>1</v>
      </c>
      <c r="J153" s="1" t="n">
        <v>1</v>
      </c>
      <c r="K153" s="1" t="n">
        <v>0</v>
      </c>
      <c r="L153" s="1" t="s">
        <v>29</v>
      </c>
      <c r="M153" s="1" t="n">
        <v>0</v>
      </c>
      <c r="O153" s="1" t="n">
        <v>0</v>
      </c>
      <c r="P153" s="1" t="n">
        <f aca="false">IF(AND(L153="executa",K153=0,J153&gt;0),1,0)</f>
        <v>1</v>
      </c>
    </row>
    <row r="154" customFormat="false" ht="15" hidden="false" customHeight="true" outlineLevel="0" collapsed="false">
      <c r="A154" s="1" t="s">
        <v>114</v>
      </c>
      <c r="B154" s="1" t="s">
        <v>115</v>
      </c>
      <c r="C154" s="1" t="s">
        <v>66</v>
      </c>
      <c r="D154" s="1" t="s">
        <v>44</v>
      </c>
      <c r="E154" s="1" t="s">
        <v>27</v>
      </c>
      <c r="F154" s="1" t="s">
        <v>122</v>
      </c>
      <c r="H154" s="1" t="n">
        <v>0</v>
      </c>
      <c r="I154" s="1" t="n">
        <v>5</v>
      </c>
      <c r="J154" s="1" t="n">
        <v>5</v>
      </c>
      <c r="K154" s="1" t="n">
        <v>0</v>
      </c>
      <c r="L154" s="1" t="s">
        <v>29</v>
      </c>
      <c r="M154" s="1" t="n">
        <v>2</v>
      </c>
      <c r="O154" s="1" t="n">
        <v>0</v>
      </c>
      <c r="P154" s="1" t="n">
        <f aca="false">IF(AND(L154="executa",K154=0,J154&gt;0),1,0)</f>
        <v>1</v>
      </c>
    </row>
    <row r="155" customFormat="false" ht="15" hidden="false" customHeight="true" outlineLevel="0" collapsed="false">
      <c r="A155" s="1" t="s">
        <v>114</v>
      </c>
      <c r="B155" s="1" t="s">
        <v>115</v>
      </c>
      <c r="C155" s="1" t="s">
        <v>66</v>
      </c>
      <c r="D155" s="1" t="s">
        <v>44</v>
      </c>
      <c r="E155" s="1" t="s">
        <v>27</v>
      </c>
      <c r="F155" s="1" t="s">
        <v>123</v>
      </c>
      <c r="H155" s="1" t="n">
        <v>1</v>
      </c>
      <c r="I155" s="1" t="n">
        <v>5</v>
      </c>
      <c r="J155" s="1" t="n">
        <v>4</v>
      </c>
      <c r="K155" s="1" t="n">
        <v>0</v>
      </c>
      <c r="L155" s="1" t="s">
        <v>29</v>
      </c>
      <c r="M155" s="1" t="n">
        <v>2</v>
      </c>
      <c r="O155" s="1" t="n">
        <v>0</v>
      </c>
      <c r="P155" s="1" t="n">
        <f aca="false">IF(AND(L155="executa",K155=0,J155&gt;0),1,0)</f>
        <v>1</v>
      </c>
    </row>
    <row r="156" customFormat="false" ht="15" hidden="false" customHeight="true" outlineLevel="0" collapsed="false">
      <c r="A156" s="1" t="s">
        <v>114</v>
      </c>
      <c r="B156" s="1" t="s">
        <v>115</v>
      </c>
      <c r="C156" s="1" t="s">
        <v>66</v>
      </c>
      <c r="D156" s="1" t="s">
        <v>44</v>
      </c>
      <c r="E156" s="1" t="s">
        <v>27</v>
      </c>
      <c r="F156" s="1" t="s">
        <v>124</v>
      </c>
      <c r="H156" s="1" t="n">
        <v>1</v>
      </c>
      <c r="I156" s="1" t="n">
        <v>2</v>
      </c>
      <c r="J156" s="1" t="n">
        <v>2</v>
      </c>
      <c r="K156" s="1" t="n">
        <v>0</v>
      </c>
      <c r="L156" s="1" t="s">
        <v>29</v>
      </c>
      <c r="M156" s="1" t="n">
        <v>0</v>
      </c>
      <c r="O156" s="1" t="n">
        <v>0</v>
      </c>
      <c r="P156" s="1" t="n">
        <f aca="false">IF(AND(L156="executa",K156=0,J156&gt;0),1,0)</f>
        <v>1</v>
      </c>
    </row>
    <row r="157" customFormat="false" ht="15" hidden="false" customHeight="true" outlineLevel="0" collapsed="false">
      <c r="A157" s="1" t="s">
        <v>114</v>
      </c>
      <c r="B157" s="1" t="s">
        <v>115</v>
      </c>
      <c r="C157" s="1" t="s">
        <v>66</v>
      </c>
      <c r="D157" s="1" t="s">
        <v>26</v>
      </c>
      <c r="E157" s="1" t="s">
        <v>13</v>
      </c>
      <c r="F157" s="1" t="s">
        <v>136</v>
      </c>
      <c r="G157" s="1" t="s">
        <v>130</v>
      </c>
      <c r="H157" s="1" t="n">
        <v>1</v>
      </c>
      <c r="I157" s="1" t="n">
        <v>5</v>
      </c>
      <c r="J157" s="1" t="n">
        <v>5</v>
      </c>
      <c r="K157" s="1" t="n">
        <v>0</v>
      </c>
      <c r="L157" s="1" t="s">
        <v>29</v>
      </c>
      <c r="M157" s="1" t="n">
        <v>1</v>
      </c>
      <c r="N157" s="1" t="s">
        <v>81</v>
      </c>
      <c r="O157" s="1" t="n">
        <v>0</v>
      </c>
      <c r="P157" s="1" t="n">
        <f aca="false">IF(AND(L157="executa",K157=0,J157&gt;0),1,0)</f>
        <v>1</v>
      </c>
    </row>
    <row r="158" customFormat="false" ht="15" hidden="false" customHeight="true" outlineLevel="0" collapsed="false">
      <c r="A158" s="1" t="s">
        <v>114</v>
      </c>
      <c r="B158" s="1" t="s">
        <v>115</v>
      </c>
      <c r="C158" s="1" t="s">
        <v>66</v>
      </c>
      <c r="D158" s="1" t="s">
        <v>26</v>
      </c>
      <c r="E158" s="1" t="s">
        <v>13</v>
      </c>
      <c r="F158" s="1" t="s">
        <v>125</v>
      </c>
      <c r="G158" s="1" t="s">
        <v>126</v>
      </c>
      <c r="H158" s="1" t="n">
        <v>1</v>
      </c>
      <c r="I158" s="1" t="n">
        <v>6</v>
      </c>
      <c r="J158" s="1" t="n">
        <v>5</v>
      </c>
      <c r="K158" s="1" t="n">
        <v>1</v>
      </c>
      <c r="L158" s="1" t="s">
        <v>29</v>
      </c>
      <c r="M158" s="1" t="n">
        <v>3</v>
      </c>
      <c r="N158" s="1" t="s">
        <v>58</v>
      </c>
      <c r="O158" s="1" t="n">
        <v>2</v>
      </c>
      <c r="P158" s="1" t="n">
        <f aca="false">IF(AND(L158="executa",K158=0,J158&gt;0),1,0)</f>
        <v>0</v>
      </c>
    </row>
    <row r="159" customFormat="false" ht="15" hidden="false" customHeight="true" outlineLevel="0" collapsed="false">
      <c r="A159" s="1" t="s">
        <v>114</v>
      </c>
      <c r="B159" s="1" t="s">
        <v>115</v>
      </c>
      <c r="C159" s="1" t="s">
        <v>66</v>
      </c>
      <c r="D159" s="1" t="s">
        <v>26</v>
      </c>
      <c r="E159" s="1" t="s">
        <v>13</v>
      </c>
      <c r="F159" s="1" t="s">
        <v>127</v>
      </c>
      <c r="G159" s="1" t="s">
        <v>128</v>
      </c>
      <c r="H159" s="1" t="n">
        <v>1</v>
      </c>
      <c r="I159" s="1" t="n">
        <v>4</v>
      </c>
      <c r="J159" s="1" t="n">
        <v>0</v>
      </c>
      <c r="K159" s="1" t="n">
        <v>4</v>
      </c>
      <c r="L159" s="1" t="s">
        <v>29</v>
      </c>
      <c r="M159" s="1" t="n">
        <v>3</v>
      </c>
      <c r="N159" s="1" t="s">
        <v>58</v>
      </c>
      <c r="O159" s="1" t="n">
        <v>3</v>
      </c>
      <c r="P159" s="1" t="n">
        <f aca="false">IF(AND(L159="executa",K159=0,J159&gt;0),1,0)</f>
        <v>0</v>
      </c>
    </row>
    <row r="160" customFormat="false" ht="15" hidden="false" customHeight="true" outlineLevel="0" collapsed="false">
      <c r="A160" s="1" t="s">
        <v>114</v>
      </c>
      <c r="B160" s="1" t="s">
        <v>115</v>
      </c>
      <c r="C160" s="1" t="s">
        <v>66</v>
      </c>
      <c r="D160" s="1" t="s">
        <v>36</v>
      </c>
      <c r="E160" s="1" t="s">
        <v>13</v>
      </c>
      <c r="F160" s="1" t="s">
        <v>129</v>
      </c>
      <c r="G160" s="1" t="s">
        <v>130</v>
      </c>
      <c r="H160" s="1" t="n">
        <v>1</v>
      </c>
      <c r="I160" s="1" t="n">
        <v>1</v>
      </c>
      <c r="J160" s="1" t="n">
        <v>0</v>
      </c>
      <c r="K160" s="1" t="n">
        <v>1</v>
      </c>
      <c r="L160" s="1" t="s">
        <v>29</v>
      </c>
      <c r="M160" s="1" t="n">
        <v>3</v>
      </c>
      <c r="N160" s="1" t="s">
        <v>58</v>
      </c>
      <c r="O160" s="1" t="n">
        <v>1</v>
      </c>
      <c r="P160" s="1" t="n">
        <f aca="false">IF(AND(L160="executa",K160=0,J160&gt;0),1,0)</f>
        <v>0</v>
      </c>
    </row>
    <row r="161" customFormat="false" ht="15" hidden="false" customHeight="true" outlineLevel="0" collapsed="false">
      <c r="A161" s="1" t="s">
        <v>114</v>
      </c>
      <c r="B161" s="1" t="s">
        <v>115</v>
      </c>
      <c r="C161" s="1" t="s">
        <v>66</v>
      </c>
      <c r="D161" s="1" t="s">
        <v>36</v>
      </c>
      <c r="E161" s="1" t="s">
        <v>13</v>
      </c>
      <c r="F161" s="1" t="s">
        <v>131</v>
      </c>
      <c r="G161" s="1" t="s">
        <v>126</v>
      </c>
      <c r="H161" s="1" t="n">
        <v>1</v>
      </c>
      <c r="I161" s="1" t="n">
        <v>2</v>
      </c>
      <c r="J161" s="1" t="n">
        <v>1</v>
      </c>
      <c r="K161" s="1" t="n">
        <v>1</v>
      </c>
      <c r="L161" s="1" t="s">
        <v>29</v>
      </c>
      <c r="M161" s="1" t="n">
        <v>3</v>
      </c>
      <c r="N161" s="1" t="s">
        <v>58</v>
      </c>
      <c r="O161" s="1" t="n">
        <v>1</v>
      </c>
      <c r="P161" s="1" t="n">
        <f aca="false">IF(AND(L161="executa",K161=0,J161&gt;0),1,0)</f>
        <v>0</v>
      </c>
    </row>
    <row r="162" customFormat="false" ht="15" hidden="false" customHeight="true" outlineLevel="0" collapsed="false">
      <c r="A162" s="1" t="s">
        <v>114</v>
      </c>
      <c r="B162" s="1" t="s">
        <v>115</v>
      </c>
      <c r="C162" s="1" t="s">
        <v>66</v>
      </c>
      <c r="D162" s="1" t="s">
        <v>36</v>
      </c>
      <c r="E162" s="1" t="s">
        <v>13</v>
      </c>
      <c r="F162" s="1" t="s">
        <v>132</v>
      </c>
      <c r="G162" s="1" t="s">
        <v>128</v>
      </c>
      <c r="H162" s="1" t="n">
        <v>0</v>
      </c>
      <c r="I162" s="1" t="n">
        <v>1</v>
      </c>
      <c r="J162" s="1" t="n">
        <v>0</v>
      </c>
      <c r="K162" s="1" t="n">
        <v>1</v>
      </c>
      <c r="L162" s="1" t="s">
        <v>29</v>
      </c>
      <c r="M162" s="1" t="n">
        <v>3</v>
      </c>
      <c r="N162" s="1" t="s">
        <v>58</v>
      </c>
      <c r="O162" s="1" t="n">
        <v>0</v>
      </c>
      <c r="P162" s="1" t="n">
        <f aca="false">IF(AND(L162="executa",K162=0,J162&gt;0),1,0)</f>
        <v>0</v>
      </c>
    </row>
    <row r="163" customFormat="false" ht="15" hidden="false" customHeight="true" outlineLevel="0" collapsed="false">
      <c r="A163" s="1" t="s">
        <v>114</v>
      </c>
      <c r="B163" s="1" t="s">
        <v>115</v>
      </c>
      <c r="C163" s="1" t="s">
        <v>66</v>
      </c>
      <c r="D163" s="1" t="s">
        <v>44</v>
      </c>
      <c r="E163" s="1" t="s">
        <v>13</v>
      </c>
      <c r="F163" s="1" t="s">
        <v>133</v>
      </c>
      <c r="G163" s="1" t="s">
        <v>130</v>
      </c>
      <c r="H163" s="1" t="n">
        <v>1</v>
      </c>
      <c r="I163" s="1" t="n">
        <v>3</v>
      </c>
      <c r="J163" s="1" t="n">
        <v>1</v>
      </c>
      <c r="K163" s="1" t="n">
        <v>2</v>
      </c>
      <c r="L163" s="1" t="s">
        <v>29</v>
      </c>
      <c r="M163" s="1" t="n">
        <v>3</v>
      </c>
      <c r="N163" s="1" t="s">
        <v>81</v>
      </c>
      <c r="O163" s="1" t="n">
        <v>0</v>
      </c>
      <c r="P163" s="1" t="n">
        <f aca="false">IF(AND(L163="executa",K163=0,J163&gt;0),1,0)</f>
        <v>0</v>
      </c>
    </row>
    <row r="164" customFormat="false" ht="15" hidden="false" customHeight="true" outlineLevel="0" collapsed="false">
      <c r="A164" s="1" t="s">
        <v>114</v>
      </c>
      <c r="B164" s="1" t="s">
        <v>115</v>
      </c>
      <c r="C164" s="1" t="s">
        <v>66</v>
      </c>
      <c r="D164" s="1" t="s">
        <v>44</v>
      </c>
      <c r="E164" s="1" t="s">
        <v>13</v>
      </c>
      <c r="F164" s="1" t="s">
        <v>134</v>
      </c>
      <c r="G164" s="1" t="s">
        <v>126</v>
      </c>
      <c r="H164" s="1" t="n">
        <v>1</v>
      </c>
      <c r="I164" s="1" t="n">
        <v>5</v>
      </c>
      <c r="J164" s="1" t="n">
        <v>4</v>
      </c>
      <c r="K164" s="1" t="n">
        <v>1</v>
      </c>
      <c r="L164" s="1" t="s">
        <v>29</v>
      </c>
      <c r="M164" s="1" t="n">
        <v>3</v>
      </c>
      <c r="N164" s="1" t="s">
        <v>58</v>
      </c>
      <c r="O164" s="1" t="n">
        <v>1</v>
      </c>
      <c r="P164" s="1" t="n">
        <f aca="false">IF(AND(L164="executa",K164=0,J164&gt;0),1,0)</f>
        <v>0</v>
      </c>
    </row>
    <row r="165" customFormat="false" ht="15" hidden="false" customHeight="true" outlineLevel="0" collapsed="false">
      <c r="A165" s="1" t="s">
        <v>114</v>
      </c>
      <c r="B165" s="1" t="s">
        <v>115</v>
      </c>
      <c r="C165" s="1" t="s">
        <v>66</v>
      </c>
      <c r="D165" s="1" t="s">
        <v>44</v>
      </c>
      <c r="E165" s="1" t="s">
        <v>13</v>
      </c>
      <c r="F165" s="1" t="s">
        <v>139</v>
      </c>
      <c r="G165" s="1" t="s">
        <v>128</v>
      </c>
      <c r="H165" s="1" t="n">
        <v>1</v>
      </c>
      <c r="I165" s="1" t="n">
        <v>2</v>
      </c>
      <c r="J165" s="1" t="n">
        <v>0</v>
      </c>
      <c r="K165" s="1" t="n">
        <v>2</v>
      </c>
      <c r="L165" s="1" t="s">
        <v>29</v>
      </c>
      <c r="M165" s="1" t="n">
        <v>3</v>
      </c>
      <c r="N165" s="1" t="s">
        <v>58</v>
      </c>
      <c r="O165" s="1" t="n">
        <v>3</v>
      </c>
      <c r="P165" s="1" t="n">
        <f aca="false">IF(AND(L165="executa",K165=0,J165&gt;0),1,0)</f>
        <v>0</v>
      </c>
    </row>
  </sheetData>
  <autoFilter ref="A1:P1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18" min="3" style="1" width="13"/>
  </cols>
  <sheetData>
    <row r="1" customFormat="false" ht="15" hidden="false" customHeight="true" outlineLevel="0" collapsed="false">
      <c r="A1" s="5" t="s">
        <v>140</v>
      </c>
    </row>
    <row r="2" customFormat="false" ht="27.75" hidden="false" customHeight="true" outlineLevel="0" collapsed="false">
      <c r="A2" s="6" t="s">
        <v>8</v>
      </c>
      <c r="B2" s="6" t="s">
        <v>9</v>
      </c>
      <c r="C2" s="6" t="s">
        <v>141</v>
      </c>
      <c r="D2" s="6" t="s">
        <v>15</v>
      </c>
      <c r="E2" s="6" t="s">
        <v>142</v>
      </c>
      <c r="F2" s="6" t="s">
        <v>143</v>
      </c>
      <c r="G2" s="6" t="s">
        <v>144</v>
      </c>
      <c r="H2" s="6" t="s">
        <v>145</v>
      </c>
      <c r="I2" s="6" t="s">
        <v>146</v>
      </c>
      <c r="J2" s="6" t="s">
        <v>147</v>
      </c>
      <c r="K2" s="6" t="s">
        <v>19</v>
      </c>
      <c r="L2" s="6" t="s">
        <v>21</v>
      </c>
    </row>
    <row r="3" customFormat="false" ht="15" hidden="false" customHeight="true" outlineLevel="0" collapsed="false">
      <c r="A3" s="1" t="s">
        <v>24</v>
      </c>
      <c r="B3" s="1" t="s">
        <v>148</v>
      </c>
      <c r="C3" s="1" t="n">
        <f aca="false">COUNTIFS(Rodadas!$B$2:$B$165,"Unitário",Rodadas!$C$2:$C$165,"chatgpt",Rodadas!$E$2:$E$165,"Limpo")</f>
        <v>21</v>
      </c>
      <c r="D3" s="1" t="n">
        <f aca="false">SUMIFS(Rodadas!$I$2:$I$165,Rodadas!$B$2:$B$165,"Unitário",Rodadas!$C$2:$C$165,"chatgpt",Rodadas!$E$2:$E$165,"Limpo")</f>
        <v>374</v>
      </c>
      <c r="E3" s="1" t="n">
        <f aca="false">SUMIFS(Rodadas!$J$2:$J$165,Rodadas!$B$2:$B$165,"Unitário",Rodadas!$C$2:$C$165,"chatgpt",Rodadas!$E$2:$E$165,"Limpo")</f>
        <v>373</v>
      </c>
      <c r="F3" s="1" t="n">
        <f aca="false">SUMIFS(Rodadas!$K$2:$K$165,Rodadas!$B$2:$B$165,"Unitário",Rodadas!$C$2:$C$165,"chatgpt",Rodadas!$E$2:$E$165,"Limpo",Rodadas!$L$2:$L$165,"executa")</f>
        <v>1</v>
      </c>
      <c r="G3" s="7" t="n">
        <f aca="false">IF(E3+F3=0,"",E3/(E3+F3))</f>
        <v>0.997326203208556</v>
      </c>
      <c r="H3" s="1" t="n">
        <f aca="false">SUMIFS(Rodadas!$P$2:$P$165,Rodadas!$B$2:$B$165,"Unitário",Rodadas!$C$2:$C$165,"chatgpt",Rodadas!$E$2:$E$165,"Limpo")</f>
        <v>20</v>
      </c>
      <c r="I3" s="1" t="n">
        <f aca="false">SUMIFS(Rodadas!$H$2:$H$165,Rodadas!$B$2:$B$165,"Unitário",Rodadas!$C$2:$C$165,"chatgpt",Rodadas!$E$2:$E$165,"Limpo")</f>
        <v>21</v>
      </c>
      <c r="J3" s="1" t="n">
        <f aca="false">COUNTIFS(Rodadas!$B$2:$B$165,"Unitário",Rodadas!$C$2:$C$165,"chatgpt",Rodadas!$E$2:$E$165,"Limpo",Rodadas!$L$2:$L$165,"não compila")</f>
        <v>0</v>
      </c>
      <c r="K3" s="1" t="n">
        <f aca="false">SUMIFS(Rodadas!$M$2:$M$165,Rodadas!$B$2:$B$165,"Unitário",Rodadas!$C$2:$C$165,"chatgpt",Rodadas!$E$2:$E$165,"Limpo")</f>
        <v>6</v>
      </c>
      <c r="L3" s="1" t="n">
        <f aca="false">SUMIFS(Rodadas!$O$2:$O$165,Rodadas!$B$2:$B$165,"Unitário",Rodadas!$C$2:$C$165,"chatgpt",Rodadas!$E$2:$E$165,"Limpo")</f>
        <v>1</v>
      </c>
    </row>
    <row r="4" customFormat="false" ht="15" hidden="false" customHeight="true" outlineLevel="0" collapsed="false">
      <c r="A4" s="1" t="s">
        <v>24</v>
      </c>
      <c r="B4" s="1" t="s">
        <v>149</v>
      </c>
      <c r="C4" s="1" t="n">
        <f aca="false">COUNTIFS(Rodadas!$B$2:$B$165,"Unitário",Rodadas!$C$2:$C$165,"gemini",Rodadas!$E$2:$E$165,"Limpo")</f>
        <v>21</v>
      </c>
      <c r="D4" s="1" t="n">
        <f aca="false">SUMIFS(Rodadas!$I$2:$I$165,Rodadas!$B$2:$B$165,"Unitário",Rodadas!$C$2:$C$165,"gemini",Rodadas!$E$2:$E$165,"Limpo")</f>
        <v>264</v>
      </c>
      <c r="E4" s="1" t="n">
        <f aca="false">SUMIFS(Rodadas!$J$2:$J$165,Rodadas!$B$2:$B$165,"Unitário",Rodadas!$C$2:$C$165,"gemini",Rodadas!$E$2:$E$165,"Limpo")</f>
        <v>264</v>
      </c>
      <c r="F4" s="1" t="n">
        <f aca="false">SUMIFS(Rodadas!$K$2:$K$165,Rodadas!$B$2:$B$165,"Unitário",Rodadas!$C$2:$C$165,"gemini",Rodadas!$E$2:$E$165,"Limpo",Rodadas!$L$2:$L$165,"executa")</f>
        <v>0</v>
      </c>
      <c r="G4" s="7" t="n">
        <f aca="false">IF(E4+F4=0,"",E4/(E4+F4))</f>
        <v>1</v>
      </c>
      <c r="H4" s="1" t="n">
        <f aca="false">SUMIFS(Rodadas!$P$2:$P$165,Rodadas!$B$2:$B$165,"Unitário",Rodadas!$C$2:$C$165,"gemini",Rodadas!$E$2:$E$165,"Limpo")</f>
        <v>21</v>
      </c>
      <c r="I4" s="1" t="n">
        <f aca="false">SUMIFS(Rodadas!$H$2:$H$165,Rodadas!$B$2:$B$165,"Unitário",Rodadas!$C$2:$C$165,"gemini",Rodadas!$E$2:$E$165,"Limpo")</f>
        <v>21</v>
      </c>
      <c r="J4" s="1" t="n">
        <f aca="false">COUNTIFS(Rodadas!$B$2:$B$165,"Unitário",Rodadas!$C$2:$C$165,"gemini",Rodadas!$E$2:$E$165,"Limpo",Rodadas!$L$2:$L$165,"não compila")</f>
        <v>0</v>
      </c>
      <c r="K4" s="1" t="n">
        <f aca="false">SUMIFS(Rodadas!$M$2:$M$165,Rodadas!$B$2:$B$165,"Unitário",Rodadas!$C$2:$C$165,"gemini",Rodadas!$E$2:$E$165,"Limpo")</f>
        <v>2</v>
      </c>
      <c r="L4" s="1" t="n">
        <f aca="false">SUMIFS(Rodadas!$O$2:$O$165,Rodadas!$B$2:$B$165,"Unitário",Rodadas!$C$2:$C$165,"gemini",Rodadas!$E$2:$E$165,"Limpo")</f>
        <v>0</v>
      </c>
    </row>
    <row r="5" customFormat="false" ht="15" hidden="false" customHeight="true" outlineLevel="0" collapsed="false">
      <c r="A5" s="1" t="s">
        <v>68</v>
      </c>
      <c r="B5" s="1" t="s">
        <v>148</v>
      </c>
      <c r="C5" s="1" t="n">
        <f aca="false">COUNTIFS(Rodadas!$B$2:$B$165,"Widget",Rodadas!$C$2:$C$165,"chatgpt",Rodadas!$E$2:$E$165,"Limpo")</f>
        <v>9</v>
      </c>
      <c r="D5" s="1" t="n">
        <f aca="false">SUMIFS(Rodadas!$I$2:$I$165,Rodadas!$B$2:$B$165,"Widget",Rodadas!$C$2:$C$165,"chatgpt",Rodadas!$E$2:$E$165,"Limpo")</f>
        <v>152</v>
      </c>
      <c r="E5" s="1" t="n">
        <f aca="false">SUMIFS(Rodadas!$J$2:$J$165,Rodadas!$B$2:$B$165,"Widget",Rodadas!$C$2:$C$165,"chatgpt",Rodadas!$E$2:$E$165,"Limpo")</f>
        <v>113</v>
      </c>
      <c r="F5" s="1" t="n">
        <f aca="false">SUMIFS(Rodadas!$K$2:$K$165,Rodadas!$B$2:$B$165,"Widget",Rodadas!$C$2:$C$165,"chatgpt",Rodadas!$E$2:$E$165,"Limpo",Rodadas!$L$2:$L$165,"executa")</f>
        <v>14</v>
      </c>
      <c r="G5" s="7" t="n">
        <f aca="false">IF(E5+F5=0,"",E5/(E5+F5))</f>
        <v>0.889763779527559</v>
      </c>
      <c r="H5" s="1" t="n">
        <f aca="false">SUMIFS(Rodadas!$P$2:$P$165,Rodadas!$B$2:$B$165,"Widget",Rodadas!$C$2:$C$165,"chatgpt",Rodadas!$E$2:$E$165,"Limpo")</f>
        <v>2</v>
      </c>
      <c r="I5" s="1" t="n">
        <f aca="false">SUMIFS(Rodadas!$H$2:$H$165,Rodadas!$B$2:$B$165,"Widget",Rodadas!$C$2:$C$165,"chatgpt",Rodadas!$E$2:$E$165,"Limpo")</f>
        <v>3</v>
      </c>
      <c r="J5" s="1" t="n">
        <f aca="false">COUNTIFS(Rodadas!$B$2:$B$165,"Widget",Rodadas!$C$2:$C$165,"chatgpt",Rodadas!$E$2:$E$165,"Limpo",Rodadas!$L$2:$L$165,"não compila")</f>
        <v>1</v>
      </c>
      <c r="K5" s="1" t="n">
        <f aca="false">SUMIFS(Rodadas!$M$2:$M$165,Rodadas!$B$2:$B$165,"Widget",Rodadas!$C$2:$C$165,"chatgpt",Rodadas!$E$2:$E$165,"Limpo")</f>
        <v>24</v>
      </c>
      <c r="L5" s="1" t="n">
        <f aca="false">SUMIFS(Rodadas!$O$2:$O$165,Rodadas!$B$2:$B$165,"Widget",Rodadas!$C$2:$C$165,"chatgpt",Rodadas!$E$2:$E$165,"Limpo")</f>
        <v>5</v>
      </c>
    </row>
    <row r="6" customFormat="false" ht="15" hidden="false" customHeight="true" outlineLevel="0" collapsed="false">
      <c r="A6" s="1" t="s">
        <v>68</v>
      </c>
      <c r="B6" s="1" t="s">
        <v>149</v>
      </c>
      <c r="C6" s="1" t="n">
        <f aca="false">COUNTIFS(Rodadas!$B$2:$B$165,"Widget",Rodadas!$C$2:$C$165,"gemini",Rodadas!$E$2:$E$165,"Limpo")</f>
        <v>9</v>
      </c>
      <c r="D6" s="1" t="n">
        <f aca="false">SUMIFS(Rodadas!$I$2:$I$165,Rodadas!$B$2:$B$165,"Widget",Rodadas!$C$2:$C$165,"gemini",Rodadas!$E$2:$E$165,"Limpo")</f>
        <v>71</v>
      </c>
      <c r="E6" s="1" t="n">
        <f aca="false">SUMIFS(Rodadas!$J$2:$J$165,Rodadas!$B$2:$B$165,"Widget",Rodadas!$C$2:$C$165,"gemini",Rodadas!$E$2:$E$165,"Limpo")</f>
        <v>55</v>
      </c>
      <c r="F6" s="1" t="n">
        <f aca="false">SUMIFS(Rodadas!$K$2:$K$165,Rodadas!$B$2:$B$165,"Widget",Rodadas!$C$2:$C$165,"gemini",Rodadas!$E$2:$E$165,"Limpo",Rodadas!$L$2:$L$165,"executa")</f>
        <v>16</v>
      </c>
      <c r="G6" s="7" t="n">
        <f aca="false">IF(E6+F6=0,"",E6/(E6+F6))</f>
        <v>0.774647887323944</v>
      </c>
      <c r="H6" s="1" t="n">
        <f aca="false">SUMIFS(Rodadas!$P$2:$P$165,Rodadas!$B$2:$B$165,"Widget",Rodadas!$C$2:$C$165,"gemini",Rodadas!$E$2:$E$165,"Limpo")</f>
        <v>6</v>
      </c>
      <c r="I6" s="1" t="n">
        <f aca="false">SUMIFS(Rodadas!$H$2:$H$165,Rodadas!$B$2:$B$165,"Widget",Rodadas!$C$2:$C$165,"gemini",Rodadas!$E$2:$E$165,"Limpo")</f>
        <v>6</v>
      </c>
      <c r="J6" s="1" t="n">
        <f aca="false">COUNTIFS(Rodadas!$B$2:$B$165,"Widget",Rodadas!$C$2:$C$165,"gemini",Rodadas!$E$2:$E$165,"Limpo",Rodadas!$L$2:$L$165,"não compila")</f>
        <v>0</v>
      </c>
      <c r="K6" s="1" t="n">
        <f aca="false">SUMIFS(Rodadas!$M$2:$M$165,Rodadas!$B$2:$B$165,"Widget",Rodadas!$C$2:$C$165,"gemini",Rodadas!$E$2:$E$165,"Limpo")</f>
        <v>17</v>
      </c>
      <c r="L6" s="1" t="n">
        <f aca="false">SUMIFS(Rodadas!$O$2:$O$165,Rodadas!$B$2:$B$165,"Widget",Rodadas!$C$2:$C$165,"gemini",Rodadas!$E$2:$E$165,"Limpo")</f>
        <v>4</v>
      </c>
    </row>
    <row r="7" customFormat="false" ht="15" hidden="false" customHeight="true" outlineLevel="0" collapsed="false">
      <c r="A7" s="1" t="s">
        <v>91</v>
      </c>
      <c r="B7" s="1" t="s">
        <v>148</v>
      </c>
      <c r="C7" s="1" t="n">
        <f aca="false">COUNTIFS(Rodadas!$B$2:$B$165,"Integração",Rodadas!$C$2:$C$165,"chatgpt",Rodadas!$E$2:$E$165,"Limpo")</f>
        <v>9</v>
      </c>
      <c r="D7" s="1" t="n">
        <f aca="false">SUMIFS(Rodadas!$I$2:$I$165,Rodadas!$B$2:$B$165,"Integração",Rodadas!$C$2:$C$165,"chatgpt",Rodadas!$E$2:$E$165,"Limpo")</f>
        <v>50</v>
      </c>
      <c r="E7" s="1" t="n">
        <f aca="false">SUMIFS(Rodadas!$J$2:$J$165,Rodadas!$B$2:$B$165,"Integração",Rodadas!$C$2:$C$165,"chatgpt",Rodadas!$E$2:$E$165,"Limpo")</f>
        <v>43</v>
      </c>
      <c r="F7" s="1" t="n">
        <f aca="false">SUMIFS(Rodadas!$K$2:$K$165,Rodadas!$B$2:$B$165,"Integração",Rodadas!$C$2:$C$165,"chatgpt",Rodadas!$E$2:$E$165,"Limpo",Rodadas!$L$2:$L$165,"executa")</f>
        <v>7</v>
      </c>
      <c r="G7" s="7" t="n">
        <f aca="false">IF(E7+F7=0,"",E7/(E7+F7))</f>
        <v>0.86</v>
      </c>
      <c r="H7" s="1" t="n">
        <f aca="false">SUMIFS(Rodadas!$P$2:$P$165,Rodadas!$B$2:$B$165,"Integração",Rodadas!$C$2:$C$165,"chatgpt",Rodadas!$E$2:$E$165,"Limpo")</f>
        <v>4</v>
      </c>
      <c r="I7" s="1" t="n">
        <f aca="false">SUMIFS(Rodadas!$H$2:$H$165,Rodadas!$B$2:$B$165,"Integração",Rodadas!$C$2:$C$165,"chatgpt",Rodadas!$E$2:$E$165,"Limpo")</f>
        <v>1</v>
      </c>
      <c r="J7" s="1" t="n">
        <f aca="false">COUNTIFS(Rodadas!$B$2:$B$165,"Integração",Rodadas!$C$2:$C$165,"chatgpt",Rodadas!$E$2:$E$165,"Limpo",Rodadas!$L$2:$L$165,"não compila")</f>
        <v>0</v>
      </c>
      <c r="K7" s="1" t="n">
        <f aca="false">SUMIFS(Rodadas!$M$2:$M$165,Rodadas!$B$2:$B$165,"Integração",Rodadas!$C$2:$C$165,"chatgpt",Rodadas!$E$2:$E$165,"Limpo")</f>
        <v>20</v>
      </c>
      <c r="L7" s="1" t="n">
        <f aca="false">SUMIFS(Rodadas!$O$2:$O$165,Rodadas!$B$2:$B$165,"Integração",Rodadas!$C$2:$C$165,"chatgpt",Rodadas!$E$2:$E$165,"Limpo")</f>
        <v>1</v>
      </c>
    </row>
    <row r="8" customFormat="false" ht="15" hidden="false" customHeight="true" outlineLevel="0" collapsed="false">
      <c r="A8" s="1" t="s">
        <v>91</v>
      </c>
      <c r="B8" s="1" t="s">
        <v>149</v>
      </c>
      <c r="C8" s="1" t="n">
        <f aca="false">COUNTIFS(Rodadas!$B$2:$B$165,"Integração",Rodadas!$C$2:$C$165,"gemini",Rodadas!$E$2:$E$165,"Limpo")</f>
        <v>9</v>
      </c>
      <c r="D8" s="1" t="n">
        <f aca="false">SUMIFS(Rodadas!$I$2:$I$165,Rodadas!$B$2:$B$165,"Integração",Rodadas!$C$2:$C$165,"gemini",Rodadas!$E$2:$E$165,"Limpo")</f>
        <v>41</v>
      </c>
      <c r="E8" s="1" t="n">
        <f aca="false">SUMIFS(Rodadas!$J$2:$J$165,Rodadas!$B$2:$B$165,"Integração",Rodadas!$C$2:$C$165,"gemini",Rodadas!$E$2:$E$165,"Limpo")</f>
        <v>23</v>
      </c>
      <c r="F8" s="1" t="n">
        <f aca="false">SUMIFS(Rodadas!$K$2:$K$165,Rodadas!$B$2:$B$165,"Integração",Rodadas!$C$2:$C$165,"gemini",Rodadas!$E$2:$E$165,"Limpo",Rodadas!$L$2:$L$165,"executa")</f>
        <v>6</v>
      </c>
      <c r="G8" s="7" t="n">
        <f aca="false">IF(E8+F8=0,"",E8/(E8+F8))</f>
        <v>0.793103448275862</v>
      </c>
      <c r="H8" s="1" t="n">
        <f aca="false">SUMIFS(Rodadas!$P$2:$P$165,Rodadas!$B$2:$B$165,"Integração",Rodadas!$C$2:$C$165,"gemini",Rodadas!$E$2:$E$165,"Limpo")</f>
        <v>4</v>
      </c>
      <c r="I8" s="1" t="n">
        <f aca="false">SUMIFS(Rodadas!$H$2:$H$165,Rodadas!$B$2:$B$165,"Integração",Rodadas!$C$2:$C$165,"gemini",Rodadas!$E$2:$E$165,"Limpo")</f>
        <v>4</v>
      </c>
      <c r="J8" s="1" t="n">
        <f aca="false">COUNTIFS(Rodadas!$B$2:$B$165,"Integração",Rodadas!$C$2:$C$165,"gemini",Rodadas!$E$2:$E$165,"Limpo",Rodadas!$L$2:$L$165,"não compila")</f>
        <v>1</v>
      </c>
      <c r="K8" s="1" t="n">
        <f aca="false">SUMIFS(Rodadas!$M$2:$M$165,Rodadas!$B$2:$B$165,"Integração",Rodadas!$C$2:$C$165,"gemini",Rodadas!$E$2:$E$165,"Limpo")</f>
        <v>20</v>
      </c>
      <c r="L8" s="1" t="n">
        <f aca="false">SUMIFS(Rodadas!$O$2:$O$165,Rodadas!$B$2:$B$165,"Integração",Rodadas!$C$2:$C$165,"gemini",Rodadas!$E$2:$E$165,"Limpo")</f>
        <v>3</v>
      </c>
    </row>
    <row r="9" customFormat="false" ht="15" hidden="false" customHeight="true" outlineLevel="0" collapsed="false">
      <c r="A9" s="1" t="s">
        <v>115</v>
      </c>
      <c r="B9" s="1" t="s">
        <v>148</v>
      </c>
      <c r="C9" s="1" t="n">
        <f aca="false">COUNTIFS(Rodadas!$B$2:$B$165,"E2E",Rodadas!$C$2:$C$165,"chatgpt",Rodadas!$E$2:$E$165,"Limpo")</f>
        <v>9</v>
      </c>
      <c r="D9" s="1" t="n">
        <f aca="false">SUMIFS(Rodadas!$I$2:$I$165,Rodadas!$B$2:$B$165,"E2E",Rodadas!$C$2:$C$165,"chatgpt",Rodadas!$E$2:$E$165,"Limpo")</f>
        <v>43</v>
      </c>
      <c r="E9" s="1" t="n">
        <f aca="false">SUMIFS(Rodadas!$J$2:$J$165,Rodadas!$B$2:$B$165,"E2E",Rodadas!$C$2:$C$165,"chatgpt",Rodadas!$E$2:$E$165,"Limpo")</f>
        <v>26</v>
      </c>
      <c r="F9" s="1" t="n">
        <f aca="false">SUMIFS(Rodadas!$K$2:$K$165,Rodadas!$B$2:$B$165,"E2E",Rodadas!$C$2:$C$165,"chatgpt",Rodadas!$E$2:$E$165,"Limpo",Rodadas!$L$2:$L$165,"executa")</f>
        <v>17</v>
      </c>
      <c r="G9" s="7" t="n">
        <f aca="false">IF(E9+F9=0,"",E9/(E9+F9))</f>
        <v>0.604651162790698</v>
      </c>
      <c r="H9" s="1" t="n">
        <f aca="false">SUMIFS(Rodadas!$P$2:$P$165,Rodadas!$B$2:$B$165,"E2E",Rodadas!$C$2:$C$165,"chatgpt",Rodadas!$E$2:$E$165,"Limpo")</f>
        <v>3</v>
      </c>
      <c r="I9" s="1" t="n">
        <f aca="false">SUMIFS(Rodadas!$H$2:$H$165,Rodadas!$B$2:$B$165,"E2E",Rodadas!$C$2:$C$165,"chatgpt",Rodadas!$E$2:$E$165,"Limpo")</f>
        <v>4</v>
      </c>
      <c r="J9" s="1" t="n">
        <f aca="false">COUNTIFS(Rodadas!$B$2:$B$165,"E2E",Rodadas!$C$2:$C$165,"chatgpt",Rodadas!$E$2:$E$165,"Limpo",Rodadas!$L$2:$L$165,"não compila")</f>
        <v>0</v>
      </c>
      <c r="K9" s="1" t="n">
        <f aca="false">SUMIFS(Rodadas!$M$2:$M$165,Rodadas!$B$2:$B$165,"E2E",Rodadas!$C$2:$C$165,"chatgpt",Rodadas!$E$2:$E$165,"Limpo")</f>
        <v>22</v>
      </c>
      <c r="L9" s="1" t="n">
        <f aca="false">SUMIFS(Rodadas!$O$2:$O$165,Rodadas!$B$2:$B$165,"E2E",Rodadas!$C$2:$C$165,"chatgpt",Rodadas!$E$2:$E$165,"Limpo")</f>
        <v>11</v>
      </c>
    </row>
    <row r="10" customFormat="false" ht="15" hidden="false" customHeight="true" outlineLevel="0" collapsed="false">
      <c r="A10" s="1" t="s">
        <v>115</v>
      </c>
      <c r="B10" s="1" t="s">
        <v>149</v>
      </c>
      <c r="C10" s="1" t="n">
        <f aca="false">COUNTIFS(Rodadas!$B$2:$B$165,"E2E",Rodadas!$C$2:$C$165,"gemini",Rodadas!$E$2:$E$165,"Limpo")</f>
        <v>9</v>
      </c>
      <c r="D10" s="1" t="n">
        <f aca="false">SUMIFS(Rodadas!$I$2:$I$165,Rodadas!$B$2:$B$165,"E2E",Rodadas!$C$2:$C$165,"gemini",Rodadas!$E$2:$E$165,"Limpo")</f>
        <v>29</v>
      </c>
      <c r="E10" s="1" t="n">
        <f aca="false">SUMIFS(Rodadas!$J$2:$J$165,Rodadas!$B$2:$B$165,"E2E",Rodadas!$C$2:$C$165,"gemini",Rodadas!$E$2:$E$165,"Limpo")</f>
        <v>25</v>
      </c>
      <c r="F10" s="1" t="n">
        <f aca="false">SUMIFS(Rodadas!$K$2:$K$165,Rodadas!$B$2:$B$165,"E2E",Rodadas!$C$2:$C$165,"gemini",Rodadas!$E$2:$E$165,"Limpo",Rodadas!$L$2:$L$165,"executa")</f>
        <v>3</v>
      </c>
      <c r="G10" s="7" t="n">
        <f aca="false">IF(E10+F10=0,"",E10/(E10+F10))</f>
        <v>0.892857142857143</v>
      </c>
      <c r="H10" s="1" t="n">
        <f aca="false">SUMIFS(Rodadas!$P$2:$P$165,Rodadas!$B$2:$B$165,"E2E",Rodadas!$C$2:$C$165,"gemini",Rodadas!$E$2:$E$165,"Limpo")</f>
        <v>6</v>
      </c>
      <c r="I10" s="1" t="n">
        <f aca="false">SUMIFS(Rodadas!$H$2:$H$165,Rodadas!$B$2:$B$165,"E2E",Rodadas!$C$2:$C$165,"gemini",Rodadas!$E$2:$E$165,"Limpo")</f>
        <v>8</v>
      </c>
      <c r="J10" s="1" t="n">
        <f aca="false">COUNTIFS(Rodadas!$B$2:$B$165,"E2E",Rodadas!$C$2:$C$165,"gemini",Rodadas!$E$2:$E$165,"Limpo",Rodadas!$L$2:$L$165,"não compila")</f>
        <v>0</v>
      </c>
      <c r="K10" s="1" t="n">
        <f aca="false">SUMIFS(Rodadas!$M$2:$M$165,Rodadas!$B$2:$B$165,"E2E",Rodadas!$C$2:$C$165,"gemini",Rodadas!$E$2:$E$165,"Limpo")</f>
        <v>17</v>
      </c>
      <c r="L10" s="1" t="n">
        <f aca="false">SUMIFS(Rodadas!$O$2:$O$165,Rodadas!$B$2:$B$165,"E2E",Rodadas!$C$2:$C$165,"gemini",Rodadas!$E$2:$E$165,"Limpo")</f>
        <v>7</v>
      </c>
    </row>
    <row r="11" customFormat="false" ht="15" hidden="false" customHeight="true" outlineLevel="0" collapsed="false">
      <c r="A11" s="8" t="s">
        <v>150</v>
      </c>
      <c r="B11" s="8" t="s">
        <v>148</v>
      </c>
      <c r="C11" s="8" t="n">
        <f aca="false">COUNTIFS(Rodadas!$C$2:$C$165,"chatgpt",Rodadas!$E$2:$E$165,"Limpo")</f>
        <v>48</v>
      </c>
      <c r="D11" s="8" t="n">
        <f aca="false">SUMIFS(Rodadas!$I$2:$I$165,Rodadas!$C$2:$C$165,"chatgpt",Rodadas!$E$2:$E$165,"Limpo")</f>
        <v>619</v>
      </c>
      <c r="E11" s="8" t="n">
        <f aca="false">SUMIFS(Rodadas!$J$2:$J$165,Rodadas!$C$2:$C$165,"chatgpt",Rodadas!$E$2:$E$165,"Limpo")</f>
        <v>555</v>
      </c>
      <c r="F11" s="8" t="n">
        <f aca="false">SUMIFS(Rodadas!$K$2:$K$165,Rodadas!$C$2:$C$165,"chatgpt",Rodadas!$E$2:$E$165,"Limpo",Rodadas!$L$2:$L$165,"executa")</f>
        <v>39</v>
      </c>
      <c r="G11" s="9" t="n">
        <f aca="false">IF(E11+F11=0,"",E11/(E11+F11))</f>
        <v>0.934343434343434</v>
      </c>
      <c r="H11" s="8" t="n">
        <f aca="false">SUMIFS(Rodadas!$P$2:$P$165,Rodadas!$C$2:$C$165,"chatgpt",Rodadas!$E$2:$E$165,"Limpo")</f>
        <v>29</v>
      </c>
      <c r="I11" s="8" t="n">
        <f aca="false">SUMIFS(Rodadas!$H$2:$H$165,Rodadas!$C$2:$C$165,"chatgpt",Rodadas!$E$2:$E$165,"Limpo")</f>
        <v>29</v>
      </c>
      <c r="J11" s="8" t="n">
        <f aca="false">COUNTIFS(Rodadas!$C$2:$C$165,"chatgpt",Rodadas!$E$2:$E$165,"Limpo",Rodadas!$L$2:$L$165,"não compila")</f>
        <v>1</v>
      </c>
      <c r="K11" s="8" t="n">
        <f aca="false">SUMIFS(Rodadas!$M$2:$M$165,Rodadas!$C$2:$C$165,"chatgpt",Rodadas!$E$2:$E$165,"Limpo")</f>
        <v>72</v>
      </c>
      <c r="L11" s="8" t="n">
        <f aca="false">SUMIFS(Rodadas!$O$2:$O$165,Rodadas!$C$2:$C$165,"chatgpt",Rodadas!$E$2:$E$165,"Limpo")</f>
        <v>18</v>
      </c>
    </row>
    <row r="12" customFormat="false" ht="15" hidden="false" customHeight="true" outlineLevel="0" collapsed="false">
      <c r="A12" s="8" t="s">
        <v>150</v>
      </c>
      <c r="B12" s="8" t="s">
        <v>149</v>
      </c>
      <c r="C12" s="8" t="n">
        <f aca="false">COUNTIFS(Rodadas!$C$2:$C$165,"gemini",Rodadas!$E$2:$E$165,"Limpo")</f>
        <v>48</v>
      </c>
      <c r="D12" s="8" t="n">
        <f aca="false">SUMIFS(Rodadas!$I$2:$I$165,Rodadas!$C$2:$C$165,"gemini",Rodadas!$E$2:$E$165,"Limpo")</f>
        <v>405</v>
      </c>
      <c r="E12" s="8" t="n">
        <f aca="false">SUMIFS(Rodadas!$J$2:$J$165,Rodadas!$C$2:$C$165,"gemini",Rodadas!$E$2:$E$165,"Limpo")</f>
        <v>367</v>
      </c>
      <c r="F12" s="8" t="n">
        <f aca="false">SUMIFS(Rodadas!$K$2:$K$165,Rodadas!$C$2:$C$165,"gemini",Rodadas!$E$2:$E$165,"Limpo",Rodadas!$L$2:$L$165,"executa")</f>
        <v>25</v>
      </c>
      <c r="G12" s="9" t="n">
        <f aca="false">IF(E12+F12=0,"",E12/(E12+F12))</f>
        <v>0.936224489795918</v>
      </c>
      <c r="H12" s="8" t="n">
        <f aca="false">SUMIFS(Rodadas!$P$2:$P$165,Rodadas!$C$2:$C$165,"gemini",Rodadas!$E$2:$E$165,"Limpo")</f>
        <v>37</v>
      </c>
      <c r="I12" s="8" t="n">
        <f aca="false">SUMIFS(Rodadas!$H$2:$H$165,Rodadas!$C$2:$C$165,"gemini",Rodadas!$E$2:$E$165,"Limpo")</f>
        <v>39</v>
      </c>
      <c r="J12" s="8" t="n">
        <f aca="false">COUNTIFS(Rodadas!$C$2:$C$165,"gemini",Rodadas!$E$2:$E$165,"Limpo",Rodadas!$L$2:$L$165,"não compila")</f>
        <v>1</v>
      </c>
      <c r="K12" s="8" t="n">
        <f aca="false">SUMIFS(Rodadas!$M$2:$M$165,Rodadas!$C$2:$C$165,"gemini",Rodadas!$E$2:$E$165,"Limpo")</f>
        <v>56</v>
      </c>
      <c r="L12" s="8" t="n">
        <f aca="false">SUMIFS(Rodadas!$O$2:$O$165,Rodadas!$C$2:$C$165,"gemini",Rodadas!$E$2:$E$165,"Limpo")</f>
        <v>14</v>
      </c>
    </row>
    <row r="14" customFormat="false" ht="15" hidden="false" customHeight="true" outlineLevel="0" collapsed="false">
      <c r="A14" s="5" t="s">
        <v>151</v>
      </c>
    </row>
    <row r="15" customFormat="false" ht="27.75" hidden="false" customHeight="true" outlineLevel="0" collapsed="false">
      <c r="A15" s="6" t="s">
        <v>8</v>
      </c>
      <c r="B15" s="6" t="s">
        <v>9</v>
      </c>
      <c r="C15" s="6" t="s">
        <v>141</v>
      </c>
      <c r="D15" s="6" t="s">
        <v>15</v>
      </c>
      <c r="E15" s="6" t="s">
        <v>142</v>
      </c>
      <c r="F15" s="6" t="s">
        <v>143</v>
      </c>
      <c r="G15" s="6" t="s">
        <v>144</v>
      </c>
      <c r="H15" s="6" t="s">
        <v>145</v>
      </c>
      <c r="I15" s="6" t="s">
        <v>146</v>
      </c>
      <c r="J15" s="6" t="s">
        <v>147</v>
      </c>
      <c r="K15" s="6" t="s">
        <v>19</v>
      </c>
      <c r="L15" s="6" t="s">
        <v>21</v>
      </c>
      <c r="M15" s="6" t="s">
        <v>58</v>
      </c>
      <c r="N15" s="6" t="s">
        <v>54</v>
      </c>
      <c r="O15" s="6" t="s">
        <v>67</v>
      </c>
      <c r="P15" s="6" t="s">
        <v>90</v>
      </c>
      <c r="Q15" s="6" t="s">
        <v>81</v>
      </c>
      <c r="R15" s="6" t="s">
        <v>138</v>
      </c>
    </row>
    <row r="16" customFormat="false" ht="15" hidden="false" customHeight="true" outlineLevel="0" collapsed="false">
      <c r="A16" s="1" t="s">
        <v>24</v>
      </c>
      <c r="B16" s="1" t="s">
        <v>148</v>
      </c>
      <c r="C16" s="1" t="n">
        <f aca="false">COUNTIFS(Rodadas!$B$2:$B$165,"Unitário",Rodadas!$C$2:$C$165,"chatgpt",Rodadas!$E$2:$E$165,"Bug")</f>
        <v>6</v>
      </c>
      <c r="D16" s="1" t="n">
        <f aca="false">SUMIFS(Rodadas!$I$2:$I$165,Rodadas!$B$2:$B$165,"Unitário",Rodadas!$C$2:$C$165,"chatgpt",Rodadas!$E$2:$E$165,"Bug")</f>
        <v>62</v>
      </c>
      <c r="E16" s="1" t="n">
        <f aca="false">SUMIFS(Rodadas!$J$2:$J$165,Rodadas!$B$2:$B$165,"Unitário",Rodadas!$C$2:$C$165,"chatgpt",Rodadas!$E$2:$E$165,"Bug")</f>
        <v>61</v>
      </c>
      <c r="F16" s="1" t="n">
        <f aca="false">SUMIFS(Rodadas!$K$2:$K$165,Rodadas!$B$2:$B$165,"Unitário",Rodadas!$C$2:$C$165,"chatgpt",Rodadas!$E$2:$E$165,"Bug",Rodadas!$L$2:$L$165,"executa")</f>
        <v>1</v>
      </c>
      <c r="G16" s="7" t="n">
        <f aca="false">IF(E16+F16=0,"",E16/(E16+F16))</f>
        <v>0.983870967741936</v>
      </c>
      <c r="H16" s="1" t="n">
        <f aca="false">SUMIFS(Rodadas!$P$2:$P$165,Rodadas!$B$2:$B$165,"Unitário",Rodadas!$C$2:$C$165,"chatgpt",Rodadas!$E$2:$E$165,"Bug")</f>
        <v>5</v>
      </c>
      <c r="I16" s="1" t="n">
        <f aca="false">SUMIFS(Rodadas!$H$2:$H$165,Rodadas!$B$2:$B$165,"Unitário",Rodadas!$C$2:$C$165,"chatgpt",Rodadas!$E$2:$E$165,"Bug")</f>
        <v>6</v>
      </c>
      <c r="J16" s="1" t="n">
        <f aca="false">COUNTIFS(Rodadas!$B$2:$B$165,"Unitário",Rodadas!$C$2:$C$165,"chatgpt",Rodadas!$E$2:$E$165,"Bug",Rodadas!$L$2:$L$165,"não compila")</f>
        <v>0</v>
      </c>
      <c r="K16" s="1" t="n">
        <f aca="false">SUMIFS(Rodadas!$M$2:$M$165,Rodadas!$B$2:$B$165,"Unitário",Rodadas!$C$2:$C$165,"chatgpt",Rodadas!$E$2:$E$165,"Bug")</f>
        <v>1</v>
      </c>
      <c r="L16" s="1" t="n">
        <f aca="false">SUMIFS(Rodadas!$O$2:$O$165,Rodadas!$B$2:$B$165,"Unitário",Rodadas!$C$2:$C$165,"chatgpt",Rodadas!$E$2:$E$165,"Bug")</f>
        <v>1</v>
      </c>
      <c r="M16" s="1" t="n">
        <f aca="false">COUNTIFS(Rodadas!$B$2:$B$165,"Unitário",Rodadas!$C$2:$C$165,"chatgpt",Rodadas!$E$2:$E$165,"Bug",Rodadas!$N$2:$N$165,"Capturou")</f>
        <v>1</v>
      </c>
      <c r="N16" s="1" t="n">
        <f aca="false">COUNTIFS(Rodadas!$B$2:$B$165,"Unitário",Rodadas!$C$2:$C$165,"chatgpt",Rodadas!$E$2:$E$165,"Bug",Rodadas!$N$2:$N$165,"Caracterizou c/ alerta")</f>
        <v>5</v>
      </c>
      <c r="O16" s="1" t="n">
        <f aca="false">COUNTIFS(Rodadas!$B$2:$B$165,"Unitário",Rodadas!$C$2:$C$165,"chatgpt",Rodadas!$E$2:$E$165,"Bug",Rodadas!$N$2:$N$165,"Viu sem asserção")</f>
        <v>0</v>
      </c>
      <c r="P16" s="1" t="n">
        <f aca="false">COUNTIFS(Rodadas!$B$2:$B$165,"Unitário",Rodadas!$C$2:$C$165,"chatgpt",Rodadas!$E$2:$E$165,"Bug",Rodadas!$N$2:$N$165,"Canonizou")</f>
        <v>0</v>
      </c>
      <c r="Q16" s="1" t="n">
        <f aca="false">COUNTIFS(Rodadas!$B$2:$B$165,"Unitário",Rodadas!$C$2:$C$165,"chatgpt",Rodadas!$E$2:$E$165,"Bug",Rodadas!$N$2:$N$165,"Não viu")</f>
        <v>0</v>
      </c>
      <c r="R16" s="1" t="n">
        <f aca="false">COUNTIFS(Rodadas!$B$2:$B$165,"Unitário",Rodadas!$C$2:$C$165,"chatgpt",Rodadas!$E$2:$E$165,"Sem dado",Rodadas!$N$2:$N$165,"Sem dado (serviço)")</f>
        <v>0</v>
      </c>
    </row>
    <row r="17" customFormat="false" ht="15" hidden="false" customHeight="true" outlineLevel="0" collapsed="false">
      <c r="A17" s="1" t="s">
        <v>24</v>
      </c>
      <c r="B17" s="1" t="s">
        <v>149</v>
      </c>
      <c r="C17" s="1" t="n">
        <f aca="false">COUNTIFS(Rodadas!$B$2:$B$165,"Unitário",Rodadas!$C$2:$C$165,"gemini",Rodadas!$E$2:$E$165,"Bug")</f>
        <v>6</v>
      </c>
      <c r="D17" s="1" t="n">
        <f aca="false">SUMIFS(Rodadas!$I$2:$I$165,Rodadas!$B$2:$B$165,"Unitário",Rodadas!$C$2:$C$165,"gemini",Rodadas!$E$2:$E$165,"Bug")</f>
        <v>47</v>
      </c>
      <c r="E17" s="1" t="n">
        <f aca="false">SUMIFS(Rodadas!$J$2:$J$165,Rodadas!$B$2:$B$165,"Unitário",Rodadas!$C$2:$C$165,"gemini",Rodadas!$E$2:$E$165,"Bug")</f>
        <v>47</v>
      </c>
      <c r="F17" s="1" t="n">
        <f aca="false">SUMIFS(Rodadas!$K$2:$K$165,Rodadas!$B$2:$B$165,"Unitário",Rodadas!$C$2:$C$165,"gemini",Rodadas!$E$2:$E$165,"Bug",Rodadas!$L$2:$L$165,"executa")</f>
        <v>0</v>
      </c>
      <c r="G17" s="7" t="n">
        <f aca="false">IF(E17+F17=0,"",E17/(E17+F17))</f>
        <v>1</v>
      </c>
      <c r="H17" s="1" t="n">
        <f aca="false">SUMIFS(Rodadas!$P$2:$P$165,Rodadas!$B$2:$B$165,"Unitário",Rodadas!$C$2:$C$165,"gemini",Rodadas!$E$2:$E$165,"Bug")</f>
        <v>6</v>
      </c>
      <c r="I17" s="1" t="n">
        <f aca="false">SUMIFS(Rodadas!$H$2:$H$165,Rodadas!$B$2:$B$165,"Unitário",Rodadas!$C$2:$C$165,"gemini",Rodadas!$E$2:$E$165,"Bug")</f>
        <v>6</v>
      </c>
      <c r="J17" s="1" t="n">
        <f aca="false">COUNTIFS(Rodadas!$B$2:$B$165,"Unitário",Rodadas!$C$2:$C$165,"gemini",Rodadas!$E$2:$E$165,"Bug",Rodadas!$L$2:$L$165,"não compila")</f>
        <v>0</v>
      </c>
      <c r="K17" s="1" t="n">
        <f aca="false">SUMIFS(Rodadas!$M$2:$M$165,Rodadas!$B$2:$B$165,"Unitário",Rodadas!$C$2:$C$165,"gemini",Rodadas!$E$2:$E$165,"Bug")</f>
        <v>0</v>
      </c>
      <c r="L17" s="1" t="n">
        <f aca="false">SUMIFS(Rodadas!$O$2:$O$165,Rodadas!$B$2:$B$165,"Unitário",Rodadas!$C$2:$C$165,"gemini",Rodadas!$E$2:$E$165,"Bug")</f>
        <v>0</v>
      </c>
      <c r="M17" s="1" t="n">
        <f aca="false">COUNTIFS(Rodadas!$B$2:$B$165,"Unitário",Rodadas!$C$2:$C$165,"gemini",Rodadas!$E$2:$E$165,"Bug",Rodadas!$N$2:$N$165,"Capturou")</f>
        <v>0</v>
      </c>
      <c r="N17" s="1" t="n">
        <f aca="false">COUNTIFS(Rodadas!$B$2:$B$165,"Unitário",Rodadas!$C$2:$C$165,"gemini",Rodadas!$E$2:$E$165,"Bug",Rodadas!$N$2:$N$165,"Caracterizou c/ alerta")</f>
        <v>5</v>
      </c>
      <c r="O17" s="1" t="n">
        <f aca="false">COUNTIFS(Rodadas!$B$2:$B$165,"Unitário",Rodadas!$C$2:$C$165,"gemini",Rodadas!$E$2:$E$165,"Bug",Rodadas!$N$2:$N$165,"Viu sem asserção")</f>
        <v>1</v>
      </c>
      <c r="P17" s="1" t="n">
        <f aca="false">COUNTIFS(Rodadas!$B$2:$B$165,"Unitário",Rodadas!$C$2:$C$165,"gemini",Rodadas!$E$2:$E$165,"Bug",Rodadas!$N$2:$N$165,"Canonizou")</f>
        <v>0</v>
      </c>
      <c r="Q17" s="1" t="n">
        <f aca="false">COUNTIFS(Rodadas!$B$2:$B$165,"Unitário",Rodadas!$C$2:$C$165,"gemini",Rodadas!$E$2:$E$165,"Bug",Rodadas!$N$2:$N$165,"Não viu")</f>
        <v>0</v>
      </c>
      <c r="R17" s="1" t="n">
        <f aca="false">COUNTIFS(Rodadas!$B$2:$B$165,"Unitário",Rodadas!$C$2:$C$165,"gemini",Rodadas!$E$2:$E$165,"Sem dado",Rodadas!$N$2:$N$165,"Sem dado (serviço)")</f>
        <v>0</v>
      </c>
    </row>
    <row r="18" customFormat="false" ht="15" hidden="false" customHeight="true" outlineLevel="0" collapsed="false">
      <c r="A18" s="1" t="s">
        <v>68</v>
      </c>
      <c r="B18" s="1" t="s">
        <v>148</v>
      </c>
      <c r="C18" s="1" t="n">
        <f aca="false">COUNTIFS(Rodadas!$B$2:$B$165,"Widget",Rodadas!$C$2:$C$165,"chatgpt",Rodadas!$E$2:$E$165,"Bug")</f>
        <v>6</v>
      </c>
      <c r="D18" s="1" t="n">
        <f aca="false">SUMIFS(Rodadas!$I$2:$I$165,Rodadas!$B$2:$B$165,"Widget",Rodadas!$C$2:$C$165,"chatgpt",Rodadas!$E$2:$E$165,"Bug")</f>
        <v>90</v>
      </c>
      <c r="E18" s="1" t="n">
        <f aca="false">SUMIFS(Rodadas!$J$2:$J$165,Rodadas!$B$2:$B$165,"Widget",Rodadas!$C$2:$C$165,"chatgpt",Rodadas!$E$2:$E$165,"Bug")</f>
        <v>41</v>
      </c>
      <c r="F18" s="1" t="n">
        <f aca="false">SUMIFS(Rodadas!$K$2:$K$165,Rodadas!$B$2:$B$165,"Widget",Rodadas!$C$2:$C$165,"chatgpt",Rodadas!$E$2:$E$165,"Bug",Rodadas!$L$2:$L$165,"executa")</f>
        <v>2</v>
      </c>
      <c r="G18" s="7" t="n">
        <f aca="false">IF(E18+F18=0,"",E18/(E18+F18))</f>
        <v>0.953488372093023</v>
      </c>
      <c r="H18" s="1" t="n">
        <f aca="false">SUMIFS(Rodadas!$P$2:$P$165,Rodadas!$B$2:$B$165,"Widget",Rodadas!$C$2:$C$165,"chatgpt",Rodadas!$E$2:$E$165,"Bug")</f>
        <v>1</v>
      </c>
      <c r="I18" s="1" t="n">
        <f aca="false">SUMIFS(Rodadas!$H$2:$H$165,Rodadas!$B$2:$B$165,"Widget",Rodadas!$C$2:$C$165,"chatgpt",Rodadas!$E$2:$E$165,"Bug")</f>
        <v>2</v>
      </c>
      <c r="J18" s="1" t="n">
        <f aca="false">COUNTIFS(Rodadas!$B$2:$B$165,"Widget",Rodadas!$C$2:$C$165,"chatgpt",Rodadas!$E$2:$E$165,"Bug",Rodadas!$L$2:$L$165,"não compila")</f>
        <v>3</v>
      </c>
      <c r="K18" s="1" t="n">
        <f aca="false">SUMIFS(Rodadas!$M$2:$M$165,Rodadas!$B$2:$B$165,"Widget",Rodadas!$C$2:$C$165,"chatgpt",Rodadas!$E$2:$E$165,"Bug")</f>
        <v>15</v>
      </c>
      <c r="L18" s="1" t="n">
        <f aca="false">SUMIFS(Rodadas!$O$2:$O$165,Rodadas!$B$2:$B$165,"Widget",Rodadas!$C$2:$C$165,"chatgpt",Rodadas!$E$2:$E$165,"Bug")</f>
        <v>0</v>
      </c>
      <c r="M18" s="1" t="n">
        <f aca="false">COUNTIFS(Rodadas!$B$2:$B$165,"Widget",Rodadas!$C$2:$C$165,"chatgpt",Rodadas!$E$2:$E$165,"Bug",Rodadas!$N$2:$N$165,"Capturou")</f>
        <v>0</v>
      </c>
      <c r="N18" s="1" t="n">
        <f aca="false">COUNTIFS(Rodadas!$B$2:$B$165,"Widget",Rodadas!$C$2:$C$165,"chatgpt",Rodadas!$E$2:$E$165,"Bug",Rodadas!$N$2:$N$165,"Caracterizou c/ alerta")</f>
        <v>3</v>
      </c>
      <c r="O18" s="1" t="n">
        <f aca="false">COUNTIFS(Rodadas!$B$2:$B$165,"Widget",Rodadas!$C$2:$C$165,"chatgpt",Rodadas!$E$2:$E$165,"Bug",Rodadas!$N$2:$N$165,"Viu sem asserção")</f>
        <v>0</v>
      </c>
      <c r="P18" s="1" t="n">
        <f aca="false">COUNTIFS(Rodadas!$B$2:$B$165,"Widget",Rodadas!$C$2:$C$165,"chatgpt",Rodadas!$E$2:$E$165,"Bug",Rodadas!$N$2:$N$165,"Canonizou")</f>
        <v>0</v>
      </c>
      <c r="Q18" s="1" t="n">
        <f aca="false">COUNTIFS(Rodadas!$B$2:$B$165,"Widget",Rodadas!$C$2:$C$165,"chatgpt",Rodadas!$E$2:$E$165,"Bug",Rodadas!$N$2:$N$165,"Não viu")</f>
        <v>3</v>
      </c>
      <c r="R18" s="1" t="n">
        <f aca="false">COUNTIFS(Rodadas!$B$2:$B$165,"Widget",Rodadas!$C$2:$C$165,"chatgpt",Rodadas!$E$2:$E$165,"Sem dado",Rodadas!$N$2:$N$165,"Sem dado (serviço)")</f>
        <v>0</v>
      </c>
    </row>
    <row r="19" customFormat="false" ht="15" hidden="false" customHeight="true" outlineLevel="0" collapsed="false">
      <c r="A19" s="1" t="s">
        <v>68</v>
      </c>
      <c r="B19" s="1" t="s">
        <v>149</v>
      </c>
      <c r="C19" s="1" t="n">
        <f aca="false">COUNTIFS(Rodadas!$B$2:$B$165,"Widget",Rodadas!$C$2:$C$165,"gemini",Rodadas!$E$2:$E$165,"Bug")</f>
        <v>6</v>
      </c>
      <c r="D19" s="1" t="n">
        <f aca="false">SUMIFS(Rodadas!$I$2:$I$165,Rodadas!$B$2:$B$165,"Widget",Rodadas!$C$2:$C$165,"gemini",Rodadas!$E$2:$E$165,"Bug")</f>
        <v>49</v>
      </c>
      <c r="E19" s="1" t="n">
        <f aca="false">SUMIFS(Rodadas!$J$2:$J$165,Rodadas!$B$2:$B$165,"Widget",Rodadas!$C$2:$C$165,"gemini",Rodadas!$E$2:$E$165,"Bug")</f>
        <v>45</v>
      </c>
      <c r="F19" s="1" t="n">
        <f aca="false">SUMIFS(Rodadas!$K$2:$K$165,Rodadas!$B$2:$B$165,"Widget",Rodadas!$C$2:$C$165,"gemini",Rodadas!$E$2:$E$165,"Bug",Rodadas!$L$2:$L$165,"executa")</f>
        <v>4</v>
      </c>
      <c r="G19" s="7" t="n">
        <f aca="false">IF(E19+F19=0,"",E19/(E19+F19))</f>
        <v>0.918367346938776</v>
      </c>
      <c r="H19" s="1" t="n">
        <f aca="false">SUMIFS(Rodadas!$P$2:$P$165,Rodadas!$B$2:$B$165,"Widget",Rodadas!$C$2:$C$165,"gemini",Rodadas!$E$2:$E$165,"Bug")</f>
        <v>3</v>
      </c>
      <c r="I19" s="1" t="n">
        <f aca="false">SUMIFS(Rodadas!$H$2:$H$165,Rodadas!$B$2:$B$165,"Widget",Rodadas!$C$2:$C$165,"gemini",Rodadas!$E$2:$E$165,"Bug")</f>
        <v>4</v>
      </c>
      <c r="J19" s="1" t="n">
        <f aca="false">COUNTIFS(Rodadas!$B$2:$B$165,"Widget",Rodadas!$C$2:$C$165,"gemini",Rodadas!$E$2:$E$165,"Bug",Rodadas!$L$2:$L$165,"não compila")</f>
        <v>0</v>
      </c>
      <c r="K19" s="1" t="n">
        <f aca="false">SUMIFS(Rodadas!$M$2:$M$165,Rodadas!$B$2:$B$165,"Widget",Rodadas!$C$2:$C$165,"gemini",Rodadas!$E$2:$E$165,"Bug")</f>
        <v>8</v>
      </c>
      <c r="L19" s="1" t="n">
        <f aca="false">SUMIFS(Rodadas!$O$2:$O$165,Rodadas!$B$2:$B$165,"Widget",Rodadas!$C$2:$C$165,"gemini",Rodadas!$E$2:$E$165,"Bug")</f>
        <v>2</v>
      </c>
      <c r="M19" s="1" t="n">
        <f aca="false">COUNTIFS(Rodadas!$B$2:$B$165,"Widget",Rodadas!$C$2:$C$165,"gemini",Rodadas!$E$2:$E$165,"Bug",Rodadas!$N$2:$N$165,"Capturou")</f>
        <v>0</v>
      </c>
      <c r="N19" s="1" t="n">
        <f aca="false">COUNTIFS(Rodadas!$B$2:$B$165,"Widget",Rodadas!$C$2:$C$165,"gemini",Rodadas!$E$2:$E$165,"Bug",Rodadas!$N$2:$N$165,"Caracterizou c/ alerta")</f>
        <v>0</v>
      </c>
      <c r="O19" s="1" t="n">
        <f aca="false">COUNTIFS(Rodadas!$B$2:$B$165,"Widget",Rodadas!$C$2:$C$165,"gemini",Rodadas!$E$2:$E$165,"Bug",Rodadas!$N$2:$N$165,"Viu sem asserção")</f>
        <v>0</v>
      </c>
      <c r="P19" s="1" t="n">
        <f aca="false">COUNTIFS(Rodadas!$B$2:$B$165,"Widget",Rodadas!$C$2:$C$165,"gemini",Rodadas!$E$2:$E$165,"Bug",Rodadas!$N$2:$N$165,"Canonizou")</f>
        <v>3</v>
      </c>
      <c r="Q19" s="1" t="n">
        <f aca="false">COUNTIFS(Rodadas!$B$2:$B$165,"Widget",Rodadas!$C$2:$C$165,"gemini",Rodadas!$E$2:$E$165,"Bug",Rodadas!$N$2:$N$165,"Não viu")</f>
        <v>3</v>
      </c>
      <c r="R19" s="1" t="n">
        <f aca="false">COUNTIFS(Rodadas!$B$2:$B$165,"Widget",Rodadas!$C$2:$C$165,"gemini",Rodadas!$E$2:$E$165,"Sem dado",Rodadas!$N$2:$N$165,"Sem dado (serviço)")</f>
        <v>0</v>
      </c>
    </row>
    <row r="20" customFormat="false" ht="15" hidden="false" customHeight="true" outlineLevel="0" collapsed="false">
      <c r="A20" s="1" t="s">
        <v>91</v>
      </c>
      <c r="B20" s="1" t="s">
        <v>148</v>
      </c>
      <c r="C20" s="1" t="n">
        <f aca="false">COUNTIFS(Rodadas!$B$2:$B$165,"Integração",Rodadas!$C$2:$C$165,"chatgpt",Rodadas!$E$2:$E$165,"Bug")</f>
        <v>6</v>
      </c>
      <c r="D20" s="1" t="n">
        <f aca="false">SUMIFS(Rodadas!$I$2:$I$165,Rodadas!$B$2:$B$165,"Integração",Rodadas!$C$2:$C$165,"chatgpt",Rodadas!$E$2:$E$165,"Bug")</f>
        <v>31</v>
      </c>
      <c r="E20" s="1" t="n">
        <f aca="false">SUMIFS(Rodadas!$J$2:$J$165,Rodadas!$B$2:$B$165,"Integração",Rodadas!$C$2:$C$165,"chatgpt",Rodadas!$E$2:$E$165,"Bug")</f>
        <v>11</v>
      </c>
      <c r="F20" s="1" t="n">
        <f aca="false">SUMIFS(Rodadas!$K$2:$K$165,Rodadas!$B$2:$B$165,"Integração",Rodadas!$C$2:$C$165,"chatgpt",Rodadas!$E$2:$E$165,"Bug",Rodadas!$L$2:$L$165,"executa")</f>
        <v>18</v>
      </c>
      <c r="G20" s="7" t="n">
        <f aca="false">IF(E20+F20=0,"",E20/(E20+F20))</f>
        <v>0.379310344827586</v>
      </c>
      <c r="H20" s="1" t="n">
        <f aca="false">SUMIFS(Rodadas!$P$2:$P$165,Rodadas!$B$2:$B$165,"Integração",Rodadas!$C$2:$C$165,"chatgpt",Rodadas!$E$2:$E$165,"Bug")</f>
        <v>2</v>
      </c>
      <c r="I20" s="1" t="n">
        <f aca="false">SUMIFS(Rodadas!$H$2:$H$165,Rodadas!$B$2:$B$165,"Integração",Rodadas!$C$2:$C$165,"chatgpt",Rodadas!$E$2:$E$165,"Bug")</f>
        <v>2</v>
      </c>
      <c r="J20" s="1" t="n">
        <f aca="false">COUNTIFS(Rodadas!$B$2:$B$165,"Integração",Rodadas!$C$2:$C$165,"chatgpt",Rodadas!$E$2:$E$165,"Bug",Rodadas!$L$2:$L$165,"não compila")</f>
        <v>1</v>
      </c>
      <c r="K20" s="1" t="n">
        <f aca="false">SUMIFS(Rodadas!$M$2:$M$165,Rodadas!$B$2:$B$165,"Integração",Rodadas!$C$2:$C$165,"chatgpt",Rodadas!$E$2:$E$165,"Bug")</f>
        <v>12</v>
      </c>
      <c r="L20" s="1" t="n">
        <f aca="false">SUMIFS(Rodadas!$O$2:$O$165,Rodadas!$B$2:$B$165,"Integração",Rodadas!$C$2:$C$165,"chatgpt",Rodadas!$E$2:$E$165,"Bug")</f>
        <v>2</v>
      </c>
      <c r="M20" s="1" t="n">
        <f aca="false">COUNTIFS(Rodadas!$B$2:$B$165,"Integração",Rodadas!$C$2:$C$165,"chatgpt",Rodadas!$E$2:$E$165,"Bug",Rodadas!$N$2:$N$165,"Capturou")</f>
        <v>0</v>
      </c>
      <c r="N20" s="1" t="n">
        <f aca="false">COUNTIFS(Rodadas!$B$2:$B$165,"Integração",Rodadas!$C$2:$C$165,"chatgpt",Rodadas!$E$2:$E$165,"Bug",Rodadas!$N$2:$N$165,"Caracterizou c/ alerta")</f>
        <v>2</v>
      </c>
      <c r="O20" s="1" t="n">
        <f aca="false">COUNTIFS(Rodadas!$B$2:$B$165,"Integração",Rodadas!$C$2:$C$165,"chatgpt",Rodadas!$E$2:$E$165,"Bug",Rodadas!$N$2:$N$165,"Viu sem asserção")</f>
        <v>1</v>
      </c>
      <c r="P20" s="1" t="n">
        <f aca="false">COUNTIFS(Rodadas!$B$2:$B$165,"Integração",Rodadas!$C$2:$C$165,"chatgpt",Rodadas!$E$2:$E$165,"Bug",Rodadas!$N$2:$N$165,"Canonizou")</f>
        <v>2</v>
      </c>
      <c r="Q20" s="1" t="n">
        <f aca="false">COUNTIFS(Rodadas!$B$2:$B$165,"Integração",Rodadas!$C$2:$C$165,"chatgpt",Rodadas!$E$2:$E$165,"Bug",Rodadas!$N$2:$N$165,"Não viu")</f>
        <v>1</v>
      </c>
      <c r="R20" s="1" t="n">
        <f aca="false">COUNTIFS(Rodadas!$B$2:$B$165,"Integração",Rodadas!$C$2:$C$165,"chatgpt",Rodadas!$E$2:$E$165,"Sem dado",Rodadas!$N$2:$N$165,"Sem dado (serviço)")</f>
        <v>0</v>
      </c>
    </row>
    <row r="21" customFormat="false" ht="15" hidden="false" customHeight="true" outlineLevel="0" collapsed="false">
      <c r="A21" s="1" t="s">
        <v>91</v>
      </c>
      <c r="B21" s="1" t="s">
        <v>149</v>
      </c>
      <c r="C21" s="1" t="n">
        <f aca="false">COUNTIFS(Rodadas!$B$2:$B$165,"Integração",Rodadas!$C$2:$C$165,"gemini",Rodadas!$E$2:$E$165,"Bug")</f>
        <v>6</v>
      </c>
      <c r="D21" s="1" t="n">
        <f aca="false">SUMIFS(Rodadas!$I$2:$I$165,Rodadas!$B$2:$B$165,"Integração",Rodadas!$C$2:$C$165,"gemini",Rodadas!$E$2:$E$165,"Bug")</f>
        <v>23</v>
      </c>
      <c r="E21" s="1" t="n">
        <f aca="false">SUMIFS(Rodadas!$J$2:$J$165,Rodadas!$B$2:$B$165,"Integração",Rodadas!$C$2:$C$165,"gemini",Rodadas!$E$2:$E$165,"Bug")</f>
        <v>10</v>
      </c>
      <c r="F21" s="1" t="n">
        <f aca="false">SUMIFS(Rodadas!$K$2:$K$165,Rodadas!$B$2:$B$165,"Integração",Rodadas!$C$2:$C$165,"gemini",Rodadas!$E$2:$E$165,"Bug",Rodadas!$L$2:$L$165,"executa")</f>
        <v>11</v>
      </c>
      <c r="G21" s="7" t="n">
        <f aca="false">IF(E21+F21=0,"",E21/(E21+F21))</f>
        <v>0.476190476190476</v>
      </c>
      <c r="H21" s="1" t="n">
        <f aca="false">SUMIFS(Rodadas!$P$2:$P$165,Rodadas!$B$2:$B$165,"Integração",Rodadas!$C$2:$C$165,"gemini",Rodadas!$E$2:$E$165,"Bug")</f>
        <v>2</v>
      </c>
      <c r="I21" s="1" t="n">
        <f aca="false">SUMIFS(Rodadas!$H$2:$H$165,Rodadas!$B$2:$B$165,"Integração",Rodadas!$C$2:$C$165,"gemini",Rodadas!$E$2:$E$165,"Bug")</f>
        <v>2</v>
      </c>
      <c r="J21" s="1" t="n">
        <f aca="false">COUNTIFS(Rodadas!$B$2:$B$165,"Integração",Rodadas!$C$2:$C$165,"gemini",Rodadas!$E$2:$E$165,"Bug",Rodadas!$L$2:$L$165,"não compila")</f>
        <v>1</v>
      </c>
      <c r="K21" s="1" t="n">
        <f aca="false">SUMIFS(Rodadas!$M$2:$M$165,Rodadas!$B$2:$B$165,"Integração",Rodadas!$C$2:$C$165,"gemini",Rodadas!$E$2:$E$165,"Bug")</f>
        <v>13</v>
      </c>
      <c r="L21" s="1" t="n">
        <f aca="false">SUMIFS(Rodadas!$O$2:$O$165,Rodadas!$B$2:$B$165,"Integração",Rodadas!$C$2:$C$165,"gemini",Rodadas!$E$2:$E$165,"Bug")</f>
        <v>3</v>
      </c>
      <c r="M21" s="1" t="n">
        <f aca="false">COUNTIFS(Rodadas!$B$2:$B$165,"Integração",Rodadas!$C$2:$C$165,"gemini",Rodadas!$E$2:$E$165,"Bug",Rodadas!$N$2:$N$165,"Capturou")</f>
        <v>0</v>
      </c>
      <c r="N21" s="1" t="n">
        <f aca="false">COUNTIFS(Rodadas!$B$2:$B$165,"Integração",Rodadas!$C$2:$C$165,"gemini",Rodadas!$E$2:$E$165,"Bug",Rodadas!$N$2:$N$165,"Caracterizou c/ alerta")</f>
        <v>0</v>
      </c>
      <c r="O21" s="1" t="n">
        <f aca="false">COUNTIFS(Rodadas!$B$2:$B$165,"Integração",Rodadas!$C$2:$C$165,"gemini",Rodadas!$E$2:$E$165,"Bug",Rodadas!$N$2:$N$165,"Viu sem asserção")</f>
        <v>2</v>
      </c>
      <c r="P21" s="1" t="n">
        <f aca="false">COUNTIFS(Rodadas!$B$2:$B$165,"Integração",Rodadas!$C$2:$C$165,"gemini",Rodadas!$E$2:$E$165,"Bug",Rodadas!$N$2:$N$165,"Canonizou")</f>
        <v>2</v>
      </c>
      <c r="Q21" s="1" t="n">
        <f aca="false">COUNTIFS(Rodadas!$B$2:$B$165,"Integração",Rodadas!$C$2:$C$165,"gemini",Rodadas!$E$2:$E$165,"Bug",Rodadas!$N$2:$N$165,"Não viu")</f>
        <v>2</v>
      </c>
      <c r="R21" s="1" t="n">
        <f aca="false">COUNTIFS(Rodadas!$B$2:$B$165,"Integração",Rodadas!$C$2:$C$165,"gemini",Rodadas!$E$2:$E$165,"Sem dado",Rodadas!$N$2:$N$165,"Sem dado (serviço)")</f>
        <v>0</v>
      </c>
    </row>
    <row r="22" customFormat="false" ht="15" hidden="false" customHeight="true" outlineLevel="0" collapsed="false">
      <c r="A22" s="1" t="s">
        <v>115</v>
      </c>
      <c r="B22" s="1" t="s">
        <v>148</v>
      </c>
      <c r="C22" s="1" t="n">
        <f aca="false">COUNTIFS(Rodadas!$B$2:$B$165,"E2E",Rodadas!$C$2:$C$165,"chatgpt",Rodadas!$E$2:$E$165,"Bug")</f>
        <v>7</v>
      </c>
      <c r="D22" s="1" t="n">
        <f aca="false">SUMIFS(Rodadas!$I$2:$I$165,Rodadas!$B$2:$B$165,"E2E",Rodadas!$C$2:$C$165,"chatgpt",Rodadas!$E$2:$E$165,"Bug")</f>
        <v>24</v>
      </c>
      <c r="E22" s="1" t="n">
        <f aca="false">SUMIFS(Rodadas!$J$2:$J$165,Rodadas!$B$2:$B$165,"E2E",Rodadas!$C$2:$C$165,"chatgpt",Rodadas!$E$2:$E$165,"Bug")</f>
        <v>14</v>
      </c>
      <c r="F22" s="1" t="n">
        <f aca="false">SUMIFS(Rodadas!$K$2:$K$165,Rodadas!$B$2:$B$165,"E2E",Rodadas!$C$2:$C$165,"chatgpt",Rodadas!$E$2:$E$165,"Bug",Rodadas!$L$2:$L$165,"executa")</f>
        <v>6</v>
      </c>
      <c r="G22" s="7" t="n">
        <f aca="false">IF(E22+F22=0,"",E22/(E22+F22))</f>
        <v>0.7</v>
      </c>
      <c r="H22" s="1" t="n">
        <f aca="false">SUMIFS(Rodadas!$P$2:$P$165,Rodadas!$B$2:$B$165,"E2E",Rodadas!$C$2:$C$165,"chatgpt",Rodadas!$E$2:$E$165,"Bug")</f>
        <v>0</v>
      </c>
      <c r="I22" s="1" t="n">
        <f aca="false">SUMIFS(Rodadas!$H$2:$H$165,Rodadas!$B$2:$B$165,"E2E",Rodadas!$C$2:$C$165,"chatgpt",Rodadas!$E$2:$E$165,"Bug")</f>
        <v>3</v>
      </c>
      <c r="J22" s="1" t="n">
        <f aca="false">COUNTIFS(Rodadas!$B$2:$B$165,"E2E",Rodadas!$C$2:$C$165,"chatgpt",Rodadas!$E$2:$E$165,"Bug",Rodadas!$L$2:$L$165,"não compila")</f>
        <v>1</v>
      </c>
      <c r="K22" s="1" t="n">
        <f aca="false">SUMIFS(Rodadas!$M$2:$M$165,Rodadas!$B$2:$B$165,"E2E",Rodadas!$C$2:$C$165,"chatgpt",Rodadas!$E$2:$E$165,"Bug")</f>
        <v>21</v>
      </c>
      <c r="L22" s="1" t="n">
        <f aca="false">SUMIFS(Rodadas!$O$2:$O$165,Rodadas!$B$2:$B$165,"E2E",Rodadas!$C$2:$C$165,"chatgpt",Rodadas!$E$2:$E$165,"Bug")</f>
        <v>9</v>
      </c>
      <c r="M22" s="1" t="n">
        <f aca="false">COUNTIFS(Rodadas!$B$2:$B$165,"E2E",Rodadas!$C$2:$C$165,"chatgpt",Rodadas!$E$2:$E$165,"Bug",Rodadas!$N$2:$N$165,"Capturou")</f>
        <v>4</v>
      </c>
      <c r="N22" s="1" t="n">
        <f aca="false">COUNTIFS(Rodadas!$B$2:$B$165,"E2E",Rodadas!$C$2:$C$165,"chatgpt",Rodadas!$E$2:$E$165,"Bug",Rodadas!$N$2:$N$165,"Caracterizou c/ alerta")</f>
        <v>0</v>
      </c>
      <c r="O22" s="1" t="n">
        <f aca="false">COUNTIFS(Rodadas!$B$2:$B$165,"E2E",Rodadas!$C$2:$C$165,"chatgpt",Rodadas!$E$2:$E$165,"Bug",Rodadas!$N$2:$N$165,"Viu sem asserção")</f>
        <v>0</v>
      </c>
      <c r="P22" s="1" t="n">
        <f aca="false">COUNTIFS(Rodadas!$B$2:$B$165,"E2E",Rodadas!$C$2:$C$165,"chatgpt",Rodadas!$E$2:$E$165,"Bug",Rodadas!$N$2:$N$165,"Canonizou")</f>
        <v>0</v>
      </c>
      <c r="Q22" s="1" t="n">
        <f aca="false">COUNTIFS(Rodadas!$B$2:$B$165,"E2E",Rodadas!$C$2:$C$165,"chatgpt",Rodadas!$E$2:$E$165,"Bug",Rodadas!$N$2:$N$165,"Não viu")</f>
        <v>3</v>
      </c>
      <c r="R22" s="1" t="n">
        <f aca="false">COUNTIFS(Rodadas!$B$2:$B$165,"E2E",Rodadas!$C$2:$C$165,"chatgpt",Rodadas!$E$2:$E$165,"Sem dado",Rodadas!$N$2:$N$165,"Sem dado (serviço)")</f>
        <v>2</v>
      </c>
    </row>
    <row r="23" customFormat="false" ht="15" hidden="false" customHeight="true" outlineLevel="0" collapsed="false">
      <c r="A23" s="1" t="s">
        <v>115</v>
      </c>
      <c r="B23" s="1" t="s">
        <v>149</v>
      </c>
      <c r="C23" s="1" t="n">
        <f aca="false">COUNTIFS(Rodadas!$B$2:$B$165,"E2E",Rodadas!$C$2:$C$165,"gemini",Rodadas!$E$2:$E$165,"Bug")</f>
        <v>9</v>
      </c>
      <c r="D23" s="1" t="n">
        <f aca="false">SUMIFS(Rodadas!$I$2:$I$165,Rodadas!$B$2:$B$165,"E2E",Rodadas!$C$2:$C$165,"gemini",Rodadas!$E$2:$E$165,"Bug")</f>
        <v>29</v>
      </c>
      <c r="E23" s="1" t="n">
        <f aca="false">SUMIFS(Rodadas!$J$2:$J$165,Rodadas!$B$2:$B$165,"E2E",Rodadas!$C$2:$C$165,"gemini",Rodadas!$E$2:$E$165,"Bug")</f>
        <v>16</v>
      </c>
      <c r="F23" s="1" t="n">
        <f aca="false">SUMIFS(Rodadas!$K$2:$K$165,Rodadas!$B$2:$B$165,"E2E",Rodadas!$C$2:$C$165,"gemini",Rodadas!$E$2:$E$165,"Bug",Rodadas!$L$2:$L$165,"executa")</f>
        <v>13</v>
      </c>
      <c r="G23" s="7" t="n">
        <f aca="false">IF(E23+F23=0,"",E23/(E23+F23))</f>
        <v>0.551724137931035</v>
      </c>
      <c r="H23" s="1" t="n">
        <f aca="false">SUMIFS(Rodadas!$P$2:$P$165,Rodadas!$B$2:$B$165,"E2E",Rodadas!$C$2:$C$165,"gemini",Rodadas!$E$2:$E$165,"Bug")</f>
        <v>1</v>
      </c>
      <c r="I23" s="1" t="n">
        <f aca="false">SUMIFS(Rodadas!$H$2:$H$165,Rodadas!$B$2:$B$165,"E2E",Rodadas!$C$2:$C$165,"gemini",Rodadas!$E$2:$E$165,"Bug")</f>
        <v>8</v>
      </c>
      <c r="J23" s="1" t="n">
        <f aca="false">COUNTIFS(Rodadas!$B$2:$B$165,"E2E",Rodadas!$C$2:$C$165,"gemini",Rodadas!$E$2:$E$165,"Bug",Rodadas!$L$2:$L$165,"não compila")</f>
        <v>0</v>
      </c>
      <c r="K23" s="1" t="n">
        <f aca="false">SUMIFS(Rodadas!$M$2:$M$165,Rodadas!$B$2:$B$165,"E2E",Rodadas!$C$2:$C$165,"gemini",Rodadas!$E$2:$E$165,"Bug")</f>
        <v>25</v>
      </c>
      <c r="L23" s="1" t="n">
        <f aca="false">SUMIFS(Rodadas!$O$2:$O$165,Rodadas!$B$2:$B$165,"E2E",Rodadas!$C$2:$C$165,"gemini",Rodadas!$E$2:$E$165,"Bug")</f>
        <v>11</v>
      </c>
      <c r="M23" s="1" t="n">
        <f aca="false">COUNTIFS(Rodadas!$B$2:$B$165,"E2E",Rodadas!$C$2:$C$165,"gemini",Rodadas!$E$2:$E$165,"Bug",Rodadas!$N$2:$N$165,"Capturou")</f>
        <v>7</v>
      </c>
      <c r="N23" s="1" t="n">
        <f aca="false">COUNTIFS(Rodadas!$B$2:$B$165,"E2E",Rodadas!$C$2:$C$165,"gemini",Rodadas!$E$2:$E$165,"Bug",Rodadas!$N$2:$N$165,"Caracterizou c/ alerta")</f>
        <v>0</v>
      </c>
      <c r="O23" s="1" t="n">
        <f aca="false">COUNTIFS(Rodadas!$B$2:$B$165,"E2E",Rodadas!$C$2:$C$165,"gemini",Rodadas!$E$2:$E$165,"Bug",Rodadas!$N$2:$N$165,"Viu sem asserção")</f>
        <v>0</v>
      </c>
      <c r="P23" s="1" t="n">
        <f aca="false">COUNTIFS(Rodadas!$B$2:$B$165,"E2E",Rodadas!$C$2:$C$165,"gemini",Rodadas!$E$2:$E$165,"Bug",Rodadas!$N$2:$N$165,"Canonizou")</f>
        <v>0</v>
      </c>
      <c r="Q23" s="1" t="n">
        <f aca="false">COUNTIFS(Rodadas!$B$2:$B$165,"E2E",Rodadas!$C$2:$C$165,"gemini",Rodadas!$E$2:$E$165,"Bug",Rodadas!$N$2:$N$165,"Não viu")</f>
        <v>2</v>
      </c>
      <c r="R23" s="1" t="n">
        <f aca="false">COUNTIFS(Rodadas!$B$2:$B$165,"E2E",Rodadas!$C$2:$C$165,"gemini",Rodadas!$E$2:$E$165,"Sem dado",Rodadas!$N$2:$N$165,"Sem dado (serviço)")</f>
        <v>0</v>
      </c>
    </row>
    <row r="24" customFormat="false" ht="15" hidden="false" customHeight="true" outlineLevel="0" collapsed="false">
      <c r="A24" s="8" t="s">
        <v>150</v>
      </c>
      <c r="B24" s="8" t="s">
        <v>148</v>
      </c>
      <c r="C24" s="8" t="n">
        <f aca="false">COUNTIFS(Rodadas!$C$2:$C$165,"chatgpt",Rodadas!$E$2:$E$165,"Bug")</f>
        <v>25</v>
      </c>
      <c r="D24" s="8" t="n">
        <f aca="false">SUMIFS(Rodadas!$I$2:$I$165,Rodadas!$C$2:$C$165,"chatgpt",Rodadas!$E$2:$E$165,"Bug")</f>
        <v>207</v>
      </c>
      <c r="E24" s="8" t="n">
        <f aca="false">SUMIFS(Rodadas!$J$2:$J$165,Rodadas!$C$2:$C$165,"chatgpt",Rodadas!$E$2:$E$165,"Bug")</f>
        <v>127</v>
      </c>
      <c r="F24" s="8" t="n">
        <f aca="false">SUMIFS(Rodadas!$K$2:$K$165,Rodadas!$C$2:$C$165,"chatgpt",Rodadas!$E$2:$E$165,"Bug",Rodadas!$L$2:$L$165,"executa")</f>
        <v>27</v>
      </c>
      <c r="G24" s="9" t="n">
        <f aca="false">IF(E24+F24=0,"",E24/(E24+F24))</f>
        <v>0.824675324675325</v>
      </c>
      <c r="H24" s="8" t="n">
        <f aca="false">SUMIFS(Rodadas!$P$2:$P$165,Rodadas!$C$2:$C$165,"chatgpt",Rodadas!$E$2:$E$165,"Bug")</f>
        <v>8</v>
      </c>
      <c r="I24" s="8" t="n">
        <f aca="false">SUMIFS(Rodadas!$H$2:$H$165,Rodadas!$C$2:$C$165,"chatgpt",Rodadas!$E$2:$E$165,"Bug")</f>
        <v>13</v>
      </c>
      <c r="J24" s="8" t="n">
        <f aca="false">COUNTIFS(Rodadas!$C$2:$C$165,"chatgpt",Rodadas!$E$2:$E$165,"Bug",Rodadas!$L$2:$L$165,"não compila")</f>
        <v>5</v>
      </c>
      <c r="K24" s="8" t="n">
        <f aca="false">SUMIFS(Rodadas!$M$2:$M$165,Rodadas!$C$2:$C$165,"chatgpt",Rodadas!$E$2:$E$165,"Bug")</f>
        <v>49</v>
      </c>
      <c r="L24" s="8" t="n">
        <f aca="false">SUMIFS(Rodadas!$O$2:$O$165,Rodadas!$C$2:$C$165,"chatgpt",Rodadas!$E$2:$E$165,"Bug")</f>
        <v>12</v>
      </c>
      <c r="M24" s="8" t="n">
        <f aca="false">COUNTIFS(Rodadas!$C$2:$C$165,"chatgpt",Rodadas!$E$2:$E$165,"Bug",Rodadas!$N$2:$N$165,"Capturou")</f>
        <v>5</v>
      </c>
      <c r="N24" s="8" t="n">
        <f aca="false">COUNTIFS(Rodadas!$C$2:$C$165,"chatgpt",Rodadas!$E$2:$E$165,"Bug",Rodadas!$N$2:$N$165,"Caracterizou c/ alerta")</f>
        <v>10</v>
      </c>
      <c r="O24" s="8" t="n">
        <f aca="false">COUNTIFS(Rodadas!$C$2:$C$165,"chatgpt",Rodadas!$E$2:$E$165,"Bug",Rodadas!$N$2:$N$165,"Viu sem asserção")</f>
        <v>1</v>
      </c>
      <c r="P24" s="8" t="n">
        <f aca="false">COUNTIFS(Rodadas!$C$2:$C$165,"chatgpt",Rodadas!$E$2:$E$165,"Bug",Rodadas!$N$2:$N$165,"Canonizou")</f>
        <v>2</v>
      </c>
      <c r="Q24" s="8" t="n">
        <f aca="false">COUNTIFS(Rodadas!$C$2:$C$165,"chatgpt",Rodadas!$E$2:$E$165,"Bug",Rodadas!$N$2:$N$165,"Não viu")</f>
        <v>7</v>
      </c>
      <c r="R24" s="8" t="n">
        <f aca="false">COUNTIFS(Rodadas!$C$2:$C$165,"chatgpt",Rodadas!$E$2:$E$165,"Sem dado",Rodadas!$N$2:$N$165,"Sem dado (serviço)")</f>
        <v>2</v>
      </c>
    </row>
    <row r="25" customFormat="false" ht="15" hidden="false" customHeight="true" outlineLevel="0" collapsed="false">
      <c r="A25" s="8" t="s">
        <v>150</v>
      </c>
      <c r="B25" s="8" t="s">
        <v>149</v>
      </c>
      <c r="C25" s="8" t="n">
        <f aca="false">COUNTIFS(Rodadas!$C$2:$C$165,"gemini",Rodadas!$E$2:$E$165,"Bug")</f>
        <v>27</v>
      </c>
      <c r="D25" s="8" t="n">
        <f aca="false">SUMIFS(Rodadas!$I$2:$I$165,Rodadas!$C$2:$C$165,"gemini",Rodadas!$E$2:$E$165,"Bug")</f>
        <v>148</v>
      </c>
      <c r="E25" s="8" t="n">
        <f aca="false">SUMIFS(Rodadas!$J$2:$J$165,Rodadas!$C$2:$C$165,"gemini",Rodadas!$E$2:$E$165,"Bug")</f>
        <v>118</v>
      </c>
      <c r="F25" s="8" t="n">
        <f aca="false">SUMIFS(Rodadas!$K$2:$K$165,Rodadas!$C$2:$C$165,"gemini",Rodadas!$E$2:$E$165,"Bug",Rodadas!$L$2:$L$165,"executa")</f>
        <v>28</v>
      </c>
      <c r="G25" s="9" t="n">
        <f aca="false">IF(E25+F25=0,"",E25/(E25+F25))</f>
        <v>0.808219178082192</v>
      </c>
      <c r="H25" s="8" t="n">
        <f aca="false">SUMIFS(Rodadas!$P$2:$P$165,Rodadas!$C$2:$C$165,"gemini",Rodadas!$E$2:$E$165,"Bug")</f>
        <v>12</v>
      </c>
      <c r="I25" s="8" t="n">
        <f aca="false">SUMIFS(Rodadas!$H$2:$H$165,Rodadas!$C$2:$C$165,"gemini",Rodadas!$E$2:$E$165,"Bug")</f>
        <v>20</v>
      </c>
      <c r="J25" s="8" t="n">
        <f aca="false">COUNTIFS(Rodadas!$C$2:$C$165,"gemini",Rodadas!$E$2:$E$165,"Bug",Rodadas!$L$2:$L$165,"não compila")</f>
        <v>1</v>
      </c>
      <c r="K25" s="8" t="n">
        <f aca="false">SUMIFS(Rodadas!$M$2:$M$165,Rodadas!$C$2:$C$165,"gemini",Rodadas!$E$2:$E$165,"Bug")</f>
        <v>46</v>
      </c>
      <c r="L25" s="8" t="n">
        <f aca="false">SUMIFS(Rodadas!$O$2:$O$165,Rodadas!$C$2:$C$165,"gemini",Rodadas!$E$2:$E$165,"Bug")</f>
        <v>16</v>
      </c>
      <c r="M25" s="8" t="n">
        <f aca="false">COUNTIFS(Rodadas!$C$2:$C$165,"gemini",Rodadas!$E$2:$E$165,"Bug",Rodadas!$N$2:$N$165,"Capturou")</f>
        <v>7</v>
      </c>
      <c r="N25" s="8" t="n">
        <f aca="false">COUNTIFS(Rodadas!$C$2:$C$165,"gemini",Rodadas!$E$2:$E$165,"Bug",Rodadas!$N$2:$N$165,"Caracterizou c/ alerta")</f>
        <v>5</v>
      </c>
      <c r="O25" s="8" t="n">
        <f aca="false">COUNTIFS(Rodadas!$C$2:$C$165,"gemini",Rodadas!$E$2:$E$165,"Bug",Rodadas!$N$2:$N$165,"Viu sem asserção")</f>
        <v>3</v>
      </c>
      <c r="P25" s="8" t="n">
        <f aca="false">COUNTIFS(Rodadas!$C$2:$C$165,"gemini",Rodadas!$E$2:$E$165,"Bug",Rodadas!$N$2:$N$165,"Canonizou")</f>
        <v>5</v>
      </c>
      <c r="Q25" s="8" t="n">
        <f aca="false">COUNTIFS(Rodadas!$C$2:$C$165,"gemini",Rodadas!$E$2:$E$165,"Bug",Rodadas!$N$2:$N$165,"Não viu")</f>
        <v>7</v>
      </c>
      <c r="R25" s="8" t="n">
        <f aca="false">COUNTIFS(Rodadas!$C$2:$C$165,"gemini",Rodadas!$E$2:$E$165,"Sem dado",Rodadas!$N$2:$N$165,"Sem dado (serviço)")</f>
        <v>0</v>
      </c>
    </row>
    <row r="27" customFormat="false" ht="15" hidden="false" customHeight="true" outlineLevel="0" collapsed="false">
      <c r="A27" s="5" t="s">
        <v>152</v>
      </c>
    </row>
    <row r="28" customFormat="false" ht="41.25" hidden="false" customHeight="true" outlineLevel="0" collapsed="false">
      <c r="A28" s="6" t="s">
        <v>10</v>
      </c>
      <c r="B28" s="6" t="s">
        <v>9</v>
      </c>
      <c r="C28" s="6" t="s">
        <v>153</v>
      </c>
      <c r="D28" s="6" t="s">
        <v>15</v>
      </c>
      <c r="E28" s="6" t="s">
        <v>142</v>
      </c>
      <c r="F28" s="6" t="s">
        <v>144</v>
      </c>
      <c r="G28" s="6" t="s">
        <v>145</v>
      </c>
      <c r="H28" s="6" t="s">
        <v>146</v>
      </c>
      <c r="I28" s="6" t="s">
        <v>154</v>
      </c>
      <c r="J28" s="6" t="s">
        <v>144</v>
      </c>
      <c r="K28" s="6" t="s">
        <v>58</v>
      </c>
      <c r="L28" s="6" t="s">
        <v>54</v>
      </c>
      <c r="M28" s="6" t="s">
        <v>67</v>
      </c>
      <c r="N28" s="6" t="s">
        <v>90</v>
      </c>
      <c r="O28" s="6" t="s">
        <v>81</v>
      </c>
    </row>
    <row r="29" customFormat="false" ht="15" hidden="false" customHeight="true" outlineLevel="0" collapsed="false">
      <c r="A29" s="1" t="s">
        <v>44</v>
      </c>
      <c r="B29" s="1" t="s">
        <v>148</v>
      </c>
      <c r="C29" s="1" t="n">
        <f aca="false">COUNTIFS(Rodadas!$D$2:$D$165,"ZS",Rodadas!$C$2:$C$165,"chatgpt",Rodadas!$E$2:$E$165,"Limpo")</f>
        <v>16</v>
      </c>
      <c r="D29" s="1" t="n">
        <f aca="false">SUMIFS(Rodadas!$I$2:$I$165,Rodadas!$D$2:$D$165,"ZS",Rodadas!$C$2:$C$165,"chatgpt",Rodadas!$E$2:$E$165,"Limpo")</f>
        <v>217</v>
      </c>
      <c r="E29" s="1" t="n">
        <f aca="false">SUMIFS(Rodadas!$J$2:$J$165,Rodadas!$D$2:$D$165,"ZS",Rodadas!$C$2:$C$165,"chatgpt",Rodadas!$E$2:$E$165,"Limpo")</f>
        <v>208</v>
      </c>
      <c r="F29" s="7" t="n">
        <f aca="false">IF(E29+SUMIFS(Rodadas!$K$2:$K$165,Rodadas!$D$2:$D$165,"ZS",Rodadas!$C$2:$C$165,"chatgpt",Rodadas!$E$2:$E$165,"Limpo",Rodadas!$L$2:$L$165,"executa")=0,"",E29/(E29+SUMIFS(Rodadas!$K$2:$K$165,Rodadas!$D$2:$D$165,"ZS",Rodadas!$C$2:$C$165,"chatgpt",Rodadas!$E$2:$E$165,"Limpo",Rodadas!$L$2:$L$165,"executa")))</f>
        <v>0.95852534562212</v>
      </c>
      <c r="G29" s="1" t="n">
        <f aca="false">SUMIFS(Rodadas!$P$2:$P$165,Rodadas!$D$2:$D$165,"ZS",Rodadas!$C$2:$C$165,"chatgpt",Rodadas!$E$2:$E$165,"Limpo")</f>
        <v>10</v>
      </c>
      <c r="H29" s="1" t="n">
        <f aca="false">SUMIFS(Rodadas!$H$2:$H$165,Rodadas!$D$2:$D$165,"ZS",Rodadas!$C$2:$C$165,"chatgpt",Rodadas!$E$2:$E$165,"Limpo")</f>
        <v>11</v>
      </c>
      <c r="I29" s="1" t="n">
        <f aca="false">COUNTIFS(Rodadas!$D$2:$D$165,"ZS",Rodadas!$C$2:$C$165,"chatgpt",Rodadas!$E$2:$E$165,"Bug")</f>
        <v>8</v>
      </c>
      <c r="J29" s="7" t="n">
        <f aca="false">IF(SUMIFS(Rodadas!$J$2:$J$165,Rodadas!$D$2:$D$165,"ZS",Rodadas!$C$2:$C$165,"chatgpt",Rodadas!$E$2:$E$165,"Bug")+SUMIFS(Rodadas!$K$2:$K$165,Rodadas!$D$2:$D$165,"ZS",Rodadas!$C$2:$C$165,"chatgpt",Rodadas!$E$2:$E$165,"Bug",Rodadas!$L$2:$L$165,"executa")=0,"",SUMIFS(Rodadas!$J$2:$J$165,Rodadas!$D$2:$D$165,"ZS",Rodadas!$C$2:$C$165,"chatgpt",Rodadas!$E$2:$E$165,"Bug")/(SUMIFS(Rodadas!$J$2:$J$165,Rodadas!$D$2:$D$165,"ZS",Rodadas!$C$2:$C$165,"chatgpt",Rodadas!$E$2:$E$165,"Bug")+SUMIFS(Rodadas!$K$2:$K$165,Rodadas!$D$2:$D$165,"ZS",Rodadas!$C$2:$C$165,"chatgpt",Rodadas!$E$2:$E$165,"Bug",Rodadas!$L$2:$L$165,"executa")))</f>
        <v>0.873015873015873</v>
      </c>
      <c r="K29" s="1" t="n">
        <f aca="false">COUNTIFS(Rodadas!$D$2:$D$165,"ZS",Rodadas!$C$2:$C$165,"chatgpt",Rodadas!$E$2:$E$165,"Bug",Rodadas!$N$2:$N$165,"Capturou")</f>
        <v>1</v>
      </c>
      <c r="L29" s="1" t="n">
        <f aca="false">COUNTIFS(Rodadas!$D$2:$D$165,"ZS",Rodadas!$C$2:$C$165,"chatgpt",Rodadas!$E$2:$E$165,"Bug",Rodadas!$N$2:$N$165,"Caracterizou c/ alerta")</f>
        <v>4</v>
      </c>
      <c r="M29" s="1" t="n">
        <f aca="false">COUNTIFS(Rodadas!$D$2:$D$165,"ZS",Rodadas!$C$2:$C$165,"chatgpt",Rodadas!$E$2:$E$165,"Bug",Rodadas!$N$2:$N$165,"Viu sem asserção")</f>
        <v>1</v>
      </c>
      <c r="N29" s="1" t="n">
        <f aca="false">COUNTIFS(Rodadas!$D$2:$D$165,"ZS",Rodadas!$C$2:$C$165,"chatgpt",Rodadas!$E$2:$E$165,"Bug",Rodadas!$N$2:$N$165,"Canonizou")</f>
        <v>0</v>
      </c>
      <c r="O29" s="1" t="n">
        <f aca="false">COUNTIFS(Rodadas!$D$2:$D$165,"ZS",Rodadas!$C$2:$C$165,"chatgpt",Rodadas!$E$2:$E$165,"Bug",Rodadas!$N$2:$N$165,"Não viu")</f>
        <v>2</v>
      </c>
    </row>
    <row r="30" customFormat="false" ht="15" hidden="false" customHeight="true" outlineLevel="0" collapsed="false">
      <c r="A30" s="1" t="s">
        <v>44</v>
      </c>
      <c r="B30" s="1" t="s">
        <v>149</v>
      </c>
      <c r="C30" s="1" t="n">
        <f aca="false">COUNTIFS(Rodadas!$D$2:$D$165,"ZS",Rodadas!$C$2:$C$165,"gemini",Rodadas!$E$2:$E$165,"Limpo")</f>
        <v>16</v>
      </c>
      <c r="D30" s="1" t="n">
        <f aca="false">SUMIFS(Rodadas!$I$2:$I$165,Rodadas!$D$2:$D$165,"ZS",Rodadas!$C$2:$C$165,"gemini",Rodadas!$E$2:$E$165,"Limpo")</f>
        <v>159</v>
      </c>
      <c r="E30" s="1" t="n">
        <f aca="false">SUMIFS(Rodadas!$J$2:$J$165,Rodadas!$D$2:$D$165,"ZS",Rodadas!$C$2:$C$165,"gemini",Rodadas!$E$2:$E$165,"Limpo")</f>
        <v>153</v>
      </c>
      <c r="F30" s="7" t="n">
        <f aca="false">IF(E30+SUMIFS(Rodadas!$K$2:$K$165,Rodadas!$D$2:$D$165,"ZS",Rodadas!$C$2:$C$165,"gemini",Rodadas!$E$2:$E$165,"Limpo",Rodadas!$L$2:$L$165,"executa")=0,"",E30/(E30+SUMIFS(Rodadas!$K$2:$K$165,Rodadas!$D$2:$D$165,"ZS",Rodadas!$C$2:$C$165,"gemini",Rodadas!$E$2:$E$165,"Limpo",Rodadas!$L$2:$L$165,"executa")))</f>
        <v>0.993506493506494</v>
      </c>
      <c r="G30" s="1" t="n">
        <f aca="false">SUMIFS(Rodadas!$P$2:$P$165,Rodadas!$D$2:$D$165,"ZS",Rodadas!$C$2:$C$165,"gemini",Rodadas!$E$2:$E$165,"Limpo")</f>
        <v>14</v>
      </c>
      <c r="H30" s="1" t="n">
        <f aca="false">SUMIFS(Rodadas!$H$2:$H$165,Rodadas!$D$2:$D$165,"ZS",Rodadas!$C$2:$C$165,"gemini",Rodadas!$E$2:$E$165,"Limpo")</f>
        <v>13</v>
      </c>
      <c r="I30" s="1" t="n">
        <f aca="false">COUNTIFS(Rodadas!$D$2:$D$165,"ZS",Rodadas!$C$2:$C$165,"gemini",Rodadas!$E$2:$E$165,"Bug")</f>
        <v>9</v>
      </c>
      <c r="J30" s="7" t="n">
        <f aca="false">IF(SUMIFS(Rodadas!$J$2:$J$165,Rodadas!$D$2:$D$165,"ZS",Rodadas!$C$2:$C$165,"gemini",Rodadas!$E$2:$E$165,"Bug")+SUMIFS(Rodadas!$K$2:$K$165,Rodadas!$D$2:$D$165,"ZS",Rodadas!$C$2:$C$165,"gemini",Rodadas!$E$2:$E$165,"Bug",Rodadas!$L$2:$L$165,"executa")=0,"",SUMIFS(Rodadas!$J$2:$J$165,Rodadas!$D$2:$D$165,"ZS",Rodadas!$C$2:$C$165,"gemini",Rodadas!$E$2:$E$165,"Bug")/(SUMIFS(Rodadas!$J$2:$J$165,Rodadas!$D$2:$D$165,"ZS",Rodadas!$C$2:$C$165,"gemini",Rodadas!$E$2:$E$165,"Bug")+SUMIFS(Rodadas!$K$2:$K$165,Rodadas!$D$2:$D$165,"ZS",Rodadas!$C$2:$C$165,"gemini",Rodadas!$E$2:$E$165,"Bug",Rodadas!$L$2:$L$165,"executa")))</f>
        <v>0.803921568627451</v>
      </c>
      <c r="K30" s="1" t="n">
        <f aca="false">COUNTIFS(Rodadas!$D$2:$D$165,"ZS",Rodadas!$C$2:$C$165,"gemini",Rodadas!$E$2:$E$165,"Bug",Rodadas!$N$2:$N$165,"Capturou")</f>
        <v>2</v>
      </c>
      <c r="L30" s="1" t="n">
        <f aca="false">COUNTIFS(Rodadas!$D$2:$D$165,"ZS",Rodadas!$C$2:$C$165,"gemini",Rodadas!$E$2:$E$165,"Bug",Rodadas!$N$2:$N$165,"Caracterizou c/ alerta")</f>
        <v>2</v>
      </c>
      <c r="M30" s="1" t="n">
        <f aca="false">COUNTIFS(Rodadas!$D$2:$D$165,"ZS",Rodadas!$C$2:$C$165,"gemini",Rodadas!$E$2:$E$165,"Bug",Rodadas!$N$2:$N$165,"Viu sem asserção")</f>
        <v>1</v>
      </c>
      <c r="N30" s="1" t="n">
        <f aca="false">COUNTIFS(Rodadas!$D$2:$D$165,"ZS",Rodadas!$C$2:$C$165,"gemini",Rodadas!$E$2:$E$165,"Bug",Rodadas!$N$2:$N$165,"Canonizou")</f>
        <v>1</v>
      </c>
      <c r="O30" s="1" t="n">
        <f aca="false">COUNTIFS(Rodadas!$D$2:$D$165,"ZS",Rodadas!$C$2:$C$165,"gemini",Rodadas!$E$2:$E$165,"Bug",Rodadas!$N$2:$N$165,"Não viu")</f>
        <v>3</v>
      </c>
    </row>
    <row r="31" customFormat="false" ht="15" hidden="false" customHeight="true" outlineLevel="0" collapsed="false">
      <c r="A31" s="1" t="s">
        <v>36</v>
      </c>
      <c r="B31" s="1" t="s">
        <v>148</v>
      </c>
      <c r="C31" s="1" t="n">
        <f aca="false">COUNTIFS(Rodadas!$D$2:$D$165,"FS",Rodadas!$C$2:$C$165,"chatgpt",Rodadas!$E$2:$E$165,"Limpo")</f>
        <v>16</v>
      </c>
      <c r="D31" s="1" t="n">
        <f aca="false">SUMIFS(Rodadas!$I$2:$I$165,Rodadas!$D$2:$D$165,"FS",Rodadas!$C$2:$C$165,"chatgpt",Rodadas!$E$2:$E$165,"Limpo")</f>
        <v>117</v>
      </c>
      <c r="E31" s="1" t="n">
        <f aca="false">SUMIFS(Rodadas!$J$2:$J$165,Rodadas!$D$2:$D$165,"FS",Rodadas!$C$2:$C$165,"chatgpt",Rodadas!$E$2:$E$165,"Limpo")</f>
        <v>103</v>
      </c>
      <c r="F31" s="7" t="n">
        <f aca="false">IF(E31+SUMIFS(Rodadas!$K$2:$K$165,Rodadas!$D$2:$D$165,"FS",Rodadas!$C$2:$C$165,"chatgpt",Rodadas!$E$2:$E$165,"Limpo",Rodadas!$L$2:$L$165,"executa")=0,"",E31/(E31+SUMIFS(Rodadas!$K$2:$K$165,Rodadas!$D$2:$D$165,"FS",Rodadas!$C$2:$C$165,"chatgpt",Rodadas!$E$2:$E$165,"Limpo",Rodadas!$L$2:$L$165,"executa")))</f>
        <v>0.88034188034188</v>
      </c>
      <c r="G31" s="1" t="n">
        <f aca="false">SUMIFS(Rodadas!$P$2:$P$165,Rodadas!$D$2:$D$165,"FS",Rodadas!$C$2:$C$165,"chatgpt",Rodadas!$E$2:$E$165,"Limpo")</f>
        <v>9</v>
      </c>
      <c r="H31" s="1" t="n">
        <f aca="false">SUMIFS(Rodadas!$H$2:$H$165,Rodadas!$D$2:$D$165,"FS",Rodadas!$C$2:$C$165,"chatgpt",Rodadas!$E$2:$E$165,"Limpo")</f>
        <v>9</v>
      </c>
      <c r="I31" s="1" t="n">
        <f aca="false">COUNTIFS(Rodadas!$D$2:$D$165,"FS",Rodadas!$C$2:$C$165,"chatgpt",Rodadas!$E$2:$E$165,"Bug")</f>
        <v>9</v>
      </c>
      <c r="J31" s="7" t="n">
        <f aca="false">IF(SUMIFS(Rodadas!$J$2:$J$165,Rodadas!$D$2:$D$165,"FS",Rodadas!$C$2:$C$165,"chatgpt",Rodadas!$E$2:$E$165,"Bug")+SUMIFS(Rodadas!$K$2:$K$165,Rodadas!$D$2:$D$165,"FS",Rodadas!$C$2:$C$165,"chatgpt",Rodadas!$E$2:$E$165,"Bug",Rodadas!$L$2:$L$165,"executa")=0,"",SUMIFS(Rodadas!$J$2:$J$165,Rodadas!$D$2:$D$165,"FS",Rodadas!$C$2:$C$165,"chatgpt",Rodadas!$E$2:$E$165,"Bug")/(SUMIFS(Rodadas!$J$2:$J$165,Rodadas!$D$2:$D$165,"FS",Rodadas!$C$2:$C$165,"chatgpt",Rodadas!$E$2:$E$165,"Bug")+SUMIFS(Rodadas!$K$2:$K$165,Rodadas!$D$2:$D$165,"FS",Rodadas!$C$2:$C$165,"chatgpt",Rodadas!$E$2:$E$165,"Bug",Rodadas!$L$2:$L$165,"executa")))</f>
        <v>0.736842105263158</v>
      </c>
      <c r="K31" s="1" t="n">
        <f aca="false">COUNTIFS(Rodadas!$D$2:$D$165,"FS",Rodadas!$C$2:$C$165,"chatgpt",Rodadas!$E$2:$E$165,"Bug",Rodadas!$N$2:$N$165,"Capturou")</f>
        <v>3</v>
      </c>
      <c r="L31" s="1" t="n">
        <f aca="false">COUNTIFS(Rodadas!$D$2:$D$165,"FS",Rodadas!$C$2:$C$165,"chatgpt",Rodadas!$E$2:$E$165,"Bug",Rodadas!$N$2:$N$165,"Caracterizou c/ alerta")</f>
        <v>3</v>
      </c>
      <c r="M31" s="1" t="n">
        <f aca="false">COUNTIFS(Rodadas!$D$2:$D$165,"FS",Rodadas!$C$2:$C$165,"chatgpt",Rodadas!$E$2:$E$165,"Bug",Rodadas!$N$2:$N$165,"Viu sem asserção")</f>
        <v>0</v>
      </c>
      <c r="N31" s="1" t="n">
        <f aca="false">COUNTIFS(Rodadas!$D$2:$D$165,"FS",Rodadas!$C$2:$C$165,"chatgpt",Rodadas!$E$2:$E$165,"Bug",Rodadas!$N$2:$N$165,"Canonizou")</f>
        <v>0</v>
      </c>
      <c r="O31" s="1" t="n">
        <f aca="false">COUNTIFS(Rodadas!$D$2:$D$165,"FS",Rodadas!$C$2:$C$165,"chatgpt",Rodadas!$E$2:$E$165,"Bug",Rodadas!$N$2:$N$165,"Não viu")</f>
        <v>3</v>
      </c>
    </row>
    <row r="32" customFormat="false" ht="15" hidden="false" customHeight="true" outlineLevel="0" collapsed="false">
      <c r="A32" s="1" t="s">
        <v>36</v>
      </c>
      <c r="B32" s="1" t="s">
        <v>149</v>
      </c>
      <c r="C32" s="1" t="n">
        <f aca="false">COUNTIFS(Rodadas!$D$2:$D$165,"FS",Rodadas!$C$2:$C$165,"gemini",Rodadas!$E$2:$E$165,"Limpo")</f>
        <v>16</v>
      </c>
      <c r="D32" s="1" t="n">
        <f aca="false">SUMIFS(Rodadas!$I$2:$I$165,Rodadas!$D$2:$D$165,"FS",Rodadas!$C$2:$C$165,"gemini",Rodadas!$E$2:$E$165,"Limpo")</f>
        <v>86</v>
      </c>
      <c r="E32" s="1" t="n">
        <f aca="false">SUMIFS(Rodadas!$J$2:$J$165,Rodadas!$D$2:$D$165,"FS",Rodadas!$C$2:$C$165,"gemini",Rodadas!$E$2:$E$165,"Limpo")</f>
        <v>80</v>
      </c>
      <c r="F32" s="7" t="n">
        <f aca="false">IF(E32+SUMIFS(Rodadas!$K$2:$K$165,Rodadas!$D$2:$D$165,"FS",Rodadas!$C$2:$C$165,"gemini",Rodadas!$E$2:$E$165,"Limpo",Rodadas!$L$2:$L$165,"executa")=0,"",E32/(E32+SUMIFS(Rodadas!$K$2:$K$165,Rodadas!$D$2:$D$165,"FS",Rodadas!$C$2:$C$165,"gemini",Rodadas!$E$2:$E$165,"Limpo",Rodadas!$L$2:$L$165,"executa")))</f>
        <v>0.930232558139535</v>
      </c>
      <c r="G32" s="1" t="n">
        <f aca="false">SUMIFS(Rodadas!$P$2:$P$165,Rodadas!$D$2:$D$165,"FS",Rodadas!$C$2:$C$165,"gemini",Rodadas!$E$2:$E$165,"Limpo")</f>
        <v>13</v>
      </c>
      <c r="H32" s="1" t="n">
        <f aca="false">SUMIFS(Rodadas!$H$2:$H$165,Rodadas!$D$2:$D$165,"FS",Rodadas!$C$2:$C$165,"gemini",Rodadas!$E$2:$E$165,"Limpo")</f>
        <v>14</v>
      </c>
      <c r="I32" s="1" t="n">
        <f aca="false">COUNTIFS(Rodadas!$D$2:$D$165,"FS",Rodadas!$C$2:$C$165,"gemini",Rodadas!$E$2:$E$165,"Bug")</f>
        <v>9</v>
      </c>
      <c r="J32" s="7" t="n">
        <f aca="false">IF(SUMIFS(Rodadas!$J$2:$J$165,Rodadas!$D$2:$D$165,"FS",Rodadas!$C$2:$C$165,"gemini",Rodadas!$E$2:$E$165,"Bug")+SUMIFS(Rodadas!$K$2:$K$165,Rodadas!$D$2:$D$165,"FS",Rodadas!$C$2:$C$165,"gemini",Rodadas!$E$2:$E$165,"Bug",Rodadas!$L$2:$L$165,"executa")=0,"",SUMIFS(Rodadas!$J$2:$J$165,Rodadas!$D$2:$D$165,"FS",Rodadas!$C$2:$C$165,"gemini",Rodadas!$E$2:$E$165,"Bug")/(SUMIFS(Rodadas!$J$2:$J$165,Rodadas!$D$2:$D$165,"FS",Rodadas!$C$2:$C$165,"gemini",Rodadas!$E$2:$E$165,"Bug")+SUMIFS(Rodadas!$K$2:$K$165,Rodadas!$D$2:$D$165,"FS",Rodadas!$C$2:$C$165,"gemini",Rodadas!$E$2:$E$165,"Bug",Rodadas!$L$2:$L$165,"executa")))</f>
        <v>0.757575757575758</v>
      </c>
      <c r="K32" s="1" t="n">
        <f aca="false">COUNTIFS(Rodadas!$D$2:$D$165,"FS",Rodadas!$C$2:$C$165,"gemini",Rodadas!$E$2:$E$165,"Bug",Rodadas!$N$2:$N$165,"Capturou")</f>
        <v>3</v>
      </c>
      <c r="L32" s="1" t="n">
        <f aca="false">COUNTIFS(Rodadas!$D$2:$D$165,"FS",Rodadas!$C$2:$C$165,"gemini",Rodadas!$E$2:$E$165,"Bug",Rodadas!$N$2:$N$165,"Caracterizou c/ alerta")</f>
        <v>1</v>
      </c>
      <c r="M32" s="1" t="n">
        <f aca="false">COUNTIFS(Rodadas!$D$2:$D$165,"FS",Rodadas!$C$2:$C$165,"gemini",Rodadas!$E$2:$E$165,"Bug",Rodadas!$N$2:$N$165,"Viu sem asserção")</f>
        <v>2</v>
      </c>
      <c r="N32" s="1" t="n">
        <f aca="false">COUNTIFS(Rodadas!$D$2:$D$165,"FS",Rodadas!$C$2:$C$165,"gemini",Rodadas!$E$2:$E$165,"Bug",Rodadas!$N$2:$N$165,"Canonizou")</f>
        <v>1</v>
      </c>
      <c r="O32" s="1" t="n">
        <f aca="false">COUNTIFS(Rodadas!$D$2:$D$165,"FS",Rodadas!$C$2:$C$165,"gemini",Rodadas!$E$2:$E$165,"Bug",Rodadas!$N$2:$N$165,"Não viu")</f>
        <v>2</v>
      </c>
    </row>
    <row r="33" customFormat="false" ht="15" hidden="false" customHeight="true" outlineLevel="0" collapsed="false">
      <c r="A33" s="1" t="s">
        <v>26</v>
      </c>
      <c r="B33" s="1" t="s">
        <v>148</v>
      </c>
      <c r="C33" s="1" t="n">
        <f aca="false">COUNTIFS(Rodadas!$D$2:$D$165,"COT",Rodadas!$C$2:$C$165,"chatgpt",Rodadas!$E$2:$E$165,"Limpo")</f>
        <v>16</v>
      </c>
      <c r="D33" s="1" t="n">
        <f aca="false">SUMIFS(Rodadas!$I$2:$I$165,Rodadas!$D$2:$D$165,"COT",Rodadas!$C$2:$C$165,"chatgpt",Rodadas!$E$2:$E$165,"Limpo")</f>
        <v>285</v>
      </c>
      <c r="E33" s="1" t="n">
        <f aca="false">SUMIFS(Rodadas!$J$2:$J$165,Rodadas!$D$2:$D$165,"COT",Rodadas!$C$2:$C$165,"chatgpt",Rodadas!$E$2:$E$165,"Limpo")</f>
        <v>244</v>
      </c>
      <c r="F33" s="7" t="n">
        <f aca="false">IF(E33+SUMIFS(Rodadas!$K$2:$K$165,Rodadas!$D$2:$D$165,"COT",Rodadas!$C$2:$C$165,"chatgpt",Rodadas!$E$2:$E$165,"Limpo",Rodadas!$L$2:$L$165,"executa")=0,"",E33/(E33+SUMIFS(Rodadas!$K$2:$K$165,Rodadas!$D$2:$D$165,"COT",Rodadas!$C$2:$C$165,"chatgpt",Rodadas!$E$2:$E$165,"Limpo",Rodadas!$L$2:$L$165,"executa")))</f>
        <v>0.938461538461539</v>
      </c>
      <c r="G33" s="1" t="n">
        <f aca="false">SUMIFS(Rodadas!$P$2:$P$165,Rodadas!$D$2:$D$165,"COT",Rodadas!$C$2:$C$165,"chatgpt",Rodadas!$E$2:$E$165,"Limpo")</f>
        <v>10</v>
      </c>
      <c r="H33" s="1" t="n">
        <f aca="false">SUMIFS(Rodadas!$H$2:$H$165,Rodadas!$D$2:$D$165,"COT",Rodadas!$C$2:$C$165,"chatgpt",Rodadas!$E$2:$E$165,"Limpo")</f>
        <v>9</v>
      </c>
      <c r="I33" s="1" t="n">
        <f aca="false">COUNTIFS(Rodadas!$D$2:$D$165,"COT",Rodadas!$C$2:$C$165,"chatgpt",Rodadas!$E$2:$E$165,"Bug")</f>
        <v>8</v>
      </c>
      <c r="J33" s="7" t="n">
        <f aca="false">IF(SUMIFS(Rodadas!$J$2:$J$165,Rodadas!$D$2:$D$165,"COT",Rodadas!$C$2:$C$165,"chatgpt",Rodadas!$E$2:$E$165,"Bug")+SUMIFS(Rodadas!$K$2:$K$165,Rodadas!$D$2:$D$165,"COT",Rodadas!$C$2:$C$165,"chatgpt",Rodadas!$E$2:$E$165,"Bug",Rodadas!$L$2:$L$165,"executa")=0,"",SUMIFS(Rodadas!$J$2:$J$165,Rodadas!$D$2:$D$165,"COT",Rodadas!$C$2:$C$165,"chatgpt",Rodadas!$E$2:$E$165,"Bug")/(SUMIFS(Rodadas!$J$2:$J$165,Rodadas!$D$2:$D$165,"COT",Rodadas!$C$2:$C$165,"chatgpt",Rodadas!$E$2:$E$165,"Bug")+SUMIFS(Rodadas!$K$2:$K$165,Rodadas!$D$2:$D$165,"COT",Rodadas!$C$2:$C$165,"chatgpt",Rodadas!$E$2:$E$165,"Bug",Rodadas!$L$2:$L$165,"executa")))</f>
        <v>0.805555555555556</v>
      </c>
      <c r="K33" s="1" t="n">
        <f aca="false">COUNTIFS(Rodadas!$D$2:$D$165,"COT",Rodadas!$C$2:$C$165,"chatgpt",Rodadas!$E$2:$E$165,"Bug",Rodadas!$N$2:$N$165,"Capturou")</f>
        <v>1</v>
      </c>
      <c r="L33" s="1" t="n">
        <f aca="false">COUNTIFS(Rodadas!$D$2:$D$165,"COT",Rodadas!$C$2:$C$165,"chatgpt",Rodadas!$E$2:$E$165,"Bug",Rodadas!$N$2:$N$165,"Caracterizou c/ alerta")</f>
        <v>3</v>
      </c>
      <c r="M33" s="1" t="n">
        <f aca="false">COUNTIFS(Rodadas!$D$2:$D$165,"COT",Rodadas!$C$2:$C$165,"chatgpt",Rodadas!$E$2:$E$165,"Bug",Rodadas!$N$2:$N$165,"Viu sem asserção")</f>
        <v>0</v>
      </c>
      <c r="N33" s="1" t="n">
        <f aca="false">COUNTIFS(Rodadas!$D$2:$D$165,"COT",Rodadas!$C$2:$C$165,"chatgpt",Rodadas!$E$2:$E$165,"Bug",Rodadas!$N$2:$N$165,"Canonizou")</f>
        <v>2</v>
      </c>
      <c r="O33" s="1" t="n">
        <f aca="false">COUNTIFS(Rodadas!$D$2:$D$165,"COT",Rodadas!$C$2:$C$165,"chatgpt",Rodadas!$E$2:$E$165,"Bug",Rodadas!$N$2:$N$165,"Não viu")</f>
        <v>2</v>
      </c>
    </row>
    <row r="34" customFormat="false" ht="15" hidden="false" customHeight="true" outlineLevel="0" collapsed="false">
      <c r="A34" s="1" t="s">
        <v>26</v>
      </c>
      <c r="B34" s="1" t="s">
        <v>149</v>
      </c>
      <c r="C34" s="1" t="n">
        <f aca="false">COUNTIFS(Rodadas!$D$2:$D$165,"COT",Rodadas!$C$2:$C$165,"gemini",Rodadas!$E$2:$E$165,"Limpo")</f>
        <v>16</v>
      </c>
      <c r="D34" s="1" t="n">
        <f aca="false">SUMIFS(Rodadas!$I$2:$I$165,Rodadas!$D$2:$D$165,"COT",Rodadas!$C$2:$C$165,"gemini",Rodadas!$E$2:$E$165,"Limpo")</f>
        <v>160</v>
      </c>
      <c r="E34" s="1" t="n">
        <f aca="false">SUMIFS(Rodadas!$J$2:$J$165,Rodadas!$D$2:$D$165,"COT",Rodadas!$C$2:$C$165,"gemini",Rodadas!$E$2:$E$165,"Limpo")</f>
        <v>134</v>
      </c>
      <c r="F34" s="7" t="n">
        <f aca="false">IF(E34+SUMIFS(Rodadas!$K$2:$K$165,Rodadas!$D$2:$D$165,"COT",Rodadas!$C$2:$C$165,"gemini",Rodadas!$E$2:$E$165,"Limpo",Rodadas!$L$2:$L$165,"executa")=0,"",E34/(E34+SUMIFS(Rodadas!$K$2:$K$165,Rodadas!$D$2:$D$165,"COT",Rodadas!$C$2:$C$165,"gemini",Rodadas!$E$2:$E$165,"Limpo",Rodadas!$L$2:$L$165,"executa")))</f>
        <v>0.881578947368421</v>
      </c>
      <c r="G34" s="1" t="n">
        <f aca="false">SUMIFS(Rodadas!$P$2:$P$165,Rodadas!$D$2:$D$165,"COT",Rodadas!$C$2:$C$165,"gemini",Rodadas!$E$2:$E$165,"Limpo")</f>
        <v>10</v>
      </c>
      <c r="H34" s="1" t="n">
        <f aca="false">SUMIFS(Rodadas!$H$2:$H$165,Rodadas!$D$2:$D$165,"COT",Rodadas!$C$2:$C$165,"gemini",Rodadas!$E$2:$E$165,"Limpo")</f>
        <v>12</v>
      </c>
      <c r="I34" s="1" t="n">
        <f aca="false">COUNTIFS(Rodadas!$D$2:$D$165,"COT",Rodadas!$C$2:$C$165,"gemini",Rodadas!$E$2:$E$165,"Bug")</f>
        <v>9</v>
      </c>
      <c r="J34" s="7" t="n">
        <f aca="false">IF(SUMIFS(Rodadas!$J$2:$J$165,Rodadas!$D$2:$D$165,"COT",Rodadas!$C$2:$C$165,"gemini",Rodadas!$E$2:$E$165,"Bug")+SUMIFS(Rodadas!$K$2:$K$165,Rodadas!$D$2:$D$165,"COT",Rodadas!$C$2:$C$165,"gemini",Rodadas!$E$2:$E$165,"Bug",Rodadas!$L$2:$L$165,"executa")=0,"",SUMIFS(Rodadas!$J$2:$J$165,Rodadas!$D$2:$D$165,"COT",Rodadas!$C$2:$C$165,"gemini",Rodadas!$E$2:$E$165,"Bug")/(SUMIFS(Rodadas!$J$2:$J$165,Rodadas!$D$2:$D$165,"COT",Rodadas!$C$2:$C$165,"gemini",Rodadas!$E$2:$E$165,"Bug")+SUMIFS(Rodadas!$K$2:$K$165,Rodadas!$D$2:$D$165,"COT",Rodadas!$C$2:$C$165,"gemini",Rodadas!$E$2:$E$165,"Bug",Rodadas!$L$2:$L$165,"executa")))</f>
        <v>0.838709677419355</v>
      </c>
      <c r="K34" s="1" t="n">
        <f aca="false">COUNTIFS(Rodadas!$D$2:$D$165,"COT",Rodadas!$C$2:$C$165,"gemini",Rodadas!$E$2:$E$165,"Bug",Rodadas!$N$2:$N$165,"Capturou")</f>
        <v>2</v>
      </c>
      <c r="L34" s="1" t="n">
        <f aca="false">COUNTIFS(Rodadas!$D$2:$D$165,"COT",Rodadas!$C$2:$C$165,"gemini",Rodadas!$E$2:$E$165,"Bug",Rodadas!$N$2:$N$165,"Caracterizou c/ alerta")</f>
        <v>2</v>
      </c>
      <c r="M34" s="1" t="n">
        <f aca="false">COUNTIFS(Rodadas!$D$2:$D$165,"COT",Rodadas!$C$2:$C$165,"gemini",Rodadas!$E$2:$E$165,"Bug",Rodadas!$N$2:$N$165,"Viu sem asserção")</f>
        <v>0</v>
      </c>
      <c r="N34" s="1" t="n">
        <f aca="false">COUNTIFS(Rodadas!$D$2:$D$165,"COT",Rodadas!$C$2:$C$165,"gemini",Rodadas!$E$2:$E$165,"Bug",Rodadas!$N$2:$N$165,"Canonizou")</f>
        <v>3</v>
      </c>
      <c r="O34" s="1" t="n">
        <f aca="false">COUNTIFS(Rodadas!$D$2:$D$165,"COT",Rodadas!$C$2:$C$165,"gemini",Rodadas!$E$2:$E$165,"Bug",Rodadas!$N$2:$N$165,"Não viu")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0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6" min="5" style="1" width="24"/>
  </cols>
  <sheetData>
    <row r="1" customFormat="false" ht="15" hidden="false" customHeight="true" outlineLevel="0" collapsed="false">
      <c r="A1" s="4" t="s">
        <v>8</v>
      </c>
      <c r="B1" s="4" t="s">
        <v>13</v>
      </c>
      <c r="C1" s="4" t="s">
        <v>155</v>
      </c>
      <c r="D1" s="4" t="s">
        <v>10</v>
      </c>
      <c r="E1" s="4" t="s">
        <v>148</v>
      </c>
      <c r="F1" s="4" t="s">
        <v>149</v>
      </c>
    </row>
    <row r="2" customFormat="false" ht="15" hidden="false" customHeight="true" outlineLevel="0" collapsed="false">
      <c r="A2" s="1" t="s">
        <v>24</v>
      </c>
      <c r="B2" s="1" t="s">
        <v>53</v>
      </c>
      <c r="C2" s="1" t="s">
        <v>156</v>
      </c>
      <c r="D2" s="1" t="s">
        <v>44</v>
      </c>
      <c r="E2" s="1" t="s">
        <v>54</v>
      </c>
      <c r="F2" s="1" t="s">
        <v>54</v>
      </c>
    </row>
    <row r="3" customFormat="false" ht="15" hidden="false" customHeight="true" outlineLevel="0" collapsed="false">
      <c r="A3" s="1" t="s">
        <v>24</v>
      </c>
      <c r="B3" s="1" t="s">
        <v>53</v>
      </c>
      <c r="C3" s="1" t="s">
        <v>156</v>
      </c>
      <c r="D3" s="1" t="s">
        <v>36</v>
      </c>
      <c r="E3" s="1" t="s">
        <v>58</v>
      </c>
      <c r="F3" s="1" t="s">
        <v>67</v>
      </c>
    </row>
    <row r="4" customFormat="false" ht="15" hidden="false" customHeight="true" outlineLevel="0" collapsed="false">
      <c r="A4" s="1" t="s">
        <v>24</v>
      </c>
      <c r="B4" s="1" t="s">
        <v>53</v>
      </c>
      <c r="C4" s="1" t="s">
        <v>156</v>
      </c>
      <c r="D4" s="1" t="s">
        <v>26</v>
      </c>
      <c r="E4" s="1" t="s">
        <v>54</v>
      </c>
      <c r="F4" s="1" t="s">
        <v>54</v>
      </c>
    </row>
    <row r="5" customFormat="false" ht="15" hidden="false" customHeight="true" outlineLevel="0" collapsed="false">
      <c r="A5" s="1" t="s">
        <v>24</v>
      </c>
      <c r="B5" s="1" t="s">
        <v>56</v>
      </c>
      <c r="C5" s="1" t="s">
        <v>157</v>
      </c>
      <c r="D5" s="1" t="s">
        <v>44</v>
      </c>
      <c r="E5" s="1" t="s">
        <v>54</v>
      </c>
      <c r="F5" s="1" t="s">
        <v>54</v>
      </c>
    </row>
    <row r="6" customFormat="false" ht="15" hidden="false" customHeight="true" outlineLevel="0" collapsed="false">
      <c r="A6" s="1" t="s">
        <v>24</v>
      </c>
      <c r="B6" s="1" t="s">
        <v>56</v>
      </c>
      <c r="C6" s="1" t="s">
        <v>157</v>
      </c>
      <c r="D6" s="1" t="s">
        <v>36</v>
      </c>
      <c r="E6" s="1" t="s">
        <v>54</v>
      </c>
      <c r="F6" s="1" t="s">
        <v>54</v>
      </c>
    </row>
    <row r="7" customFormat="false" ht="15" hidden="false" customHeight="true" outlineLevel="0" collapsed="false">
      <c r="A7" s="1" t="s">
        <v>24</v>
      </c>
      <c r="B7" s="1" t="s">
        <v>56</v>
      </c>
      <c r="C7" s="1" t="s">
        <v>157</v>
      </c>
      <c r="D7" s="1" t="s">
        <v>26</v>
      </c>
      <c r="E7" s="1" t="s">
        <v>54</v>
      </c>
      <c r="F7" s="1" t="s">
        <v>54</v>
      </c>
    </row>
    <row r="8" customFormat="false" ht="15" hidden="false" customHeight="true" outlineLevel="0" collapsed="false">
      <c r="A8" s="1" t="s">
        <v>68</v>
      </c>
      <c r="B8" s="1" t="s">
        <v>80</v>
      </c>
      <c r="C8" s="1" t="s">
        <v>156</v>
      </c>
      <c r="D8" s="1" t="s">
        <v>44</v>
      </c>
      <c r="E8" s="1" t="s">
        <v>81</v>
      </c>
      <c r="F8" s="1" t="s">
        <v>81</v>
      </c>
    </row>
    <row r="9" customFormat="false" ht="15" hidden="false" customHeight="true" outlineLevel="0" collapsed="false">
      <c r="A9" s="1" t="s">
        <v>68</v>
      </c>
      <c r="B9" s="1" t="s">
        <v>80</v>
      </c>
      <c r="C9" s="1" t="s">
        <v>156</v>
      </c>
      <c r="D9" s="1" t="s">
        <v>36</v>
      </c>
      <c r="E9" s="1" t="s">
        <v>81</v>
      </c>
      <c r="F9" s="1" t="s">
        <v>81</v>
      </c>
    </row>
    <row r="10" customFormat="false" ht="15" hidden="false" customHeight="true" outlineLevel="0" collapsed="false">
      <c r="A10" s="1" t="s">
        <v>68</v>
      </c>
      <c r="B10" s="1" t="s">
        <v>80</v>
      </c>
      <c r="C10" s="1" t="s">
        <v>156</v>
      </c>
      <c r="D10" s="1" t="s">
        <v>26</v>
      </c>
      <c r="E10" s="1" t="s">
        <v>81</v>
      </c>
      <c r="F10" s="1" t="s">
        <v>81</v>
      </c>
    </row>
    <row r="11" customFormat="false" ht="15" hidden="false" customHeight="true" outlineLevel="0" collapsed="false">
      <c r="A11" s="1" t="s">
        <v>68</v>
      </c>
      <c r="B11" s="1" t="s">
        <v>83</v>
      </c>
      <c r="C11" s="1" t="s">
        <v>157</v>
      </c>
      <c r="D11" s="1" t="s">
        <v>44</v>
      </c>
      <c r="E11" s="1" t="s">
        <v>54</v>
      </c>
      <c r="F11" s="1" t="s">
        <v>90</v>
      </c>
    </row>
    <row r="12" customFormat="false" ht="15" hidden="false" customHeight="true" outlineLevel="0" collapsed="false">
      <c r="A12" s="1" t="s">
        <v>68</v>
      </c>
      <c r="B12" s="1" t="s">
        <v>83</v>
      </c>
      <c r="C12" s="1" t="s">
        <v>157</v>
      </c>
      <c r="D12" s="1" t="s">
        <v>36</v>
      </c>
      <c r="E12" s="1" t="s">
        <v>54</v>
      </c>
      <c r="F12" s="1" t="s">
        <v>90</v>
      </c>
    </row>
    <row r="13" customFormat="false" ht="15" hidden="false" customHeight="true" outlineLevel="0" collapsed="false">
      <c r="A13" s="1" t="s">
        <v>68</v>
      </c>
      <c r="B13" s="1" t="s">
        <v>83</v>
      </c>
      <c r="C13" s="1" t="s">
        <v>157</v>
      </c>
      <c r="D13" s="1" t="s">
        <v>26</v>
      </c>
      <c r="E13" s="1" t="s">
        <v>54</v>
      </c>
      <c r="F13" s="1" t="s">
        <v>90</v>
      </c>
    </row>
    <row r="14" customFormat="false" ht="15" hidden="false" customHeight="true" outlineLevel="0" collapsed="false">
      <c r="A14" s="1" t="s">
        <v>91</v>
      </c>
      <c r="B14" s="1" t="s">
        <v>102</v>
      </c>
      <c r="C14" s="1" t="s">
        <v>156</v>
      </c>
      <c r="D14" s="1" t="s">
        <v>44</v>
      </c>
      <c r="E14" s="1" t="s">
        <v>67</v>
      </c>
      <c r="F14" s="1" t="s">
        <v>81</v>
      </c>
    </row>
    <row r="15" customFormat="false" ht="15" hidden="false" customHeight="true" outlineLevel="0" collapsed="false">
      <c r="A15" s="1" t="s">
        <v>91</v>
      </c>
      <c r="B15" s="1" t="s">
        <v>102</v>
      </c>
      <c r="C15" s="1" t="s">
        <v>156</v>
      </c>
      <c r="D15" s="1" t="s">
        <v>36</v>
      </c>
      <c r="E15" s="1" t="s">
        <v>81</v>
      </c>
      <c r="F15" s="1" t="s">
        <v>81</v>
      </c>
    </row>
    <row r="16" customFormat="false" ht="15" hidden="false" customHeight="true" outlineLevel="0" collapsed="false">
      <c r="A16" s="1" t="s">
        <v>91</v>
      </c>
      <c r="B16" s="1" t="s">
        <v>102</v>
      </c>
      <c r="C16" s="1" t="s">
        <v>156</v>
      </c>
      <c r="D16" s="1" t="s">
        <v>26</v>
      </c>
      <c r="E16" s="1" t="s">
        <v>90</v>
      </c>
      <c r="F16" s="1" t="s">
        <v>90</v>
      </c>
    </row>
    <row r="17" customFormat="false" ht="15" hidden="false" customHeight="true" outlineLevel="0" collapsed="false">
      <c r="A17" s="1" t="s">
        <v>91</v>
      </c>
      <c r="B17" s="1" t="s">
        <v>104</v>
      </c>
      <c r="C17" s="1" t="s">
        <v>157</v>
      </c>
      <c r="D17" s="1" t="s">
        <v>44</v>
      </c>
      <c r="E17" s="1" t="s">
        <v>54</v>
      </c>
      <c r="F17" s="1" t="s">
        <v>67</v>
      </c>
    </row>
    <row r="18" customFormat="false" ht="15" hidden="false" customHeight="true" outlineLevel="0" collapsed="false">
      <c r="A18" s="1" t="s">
        <v>91</v>
      </c>
      <c r="B18" s="1" t="s">
        <v>104</v>
      </c>
      <c r="C18" s="1" t="s">
        <v>157</v>
      </c>
      <c r="D18" s="1" t="s">
        <v>36</v>
      </c>
      <c r="E18" s="1" t="s">
        <v>54</v>
      </c>
      <c r="F18" s="1" t="s">
        <v>67</v>
      </c>
    </row>
    <row r="19" customFormat="false" ht="15" hidden="false" customHeight="true" outlineLevel="0" collapsed="false">
      <c r="A19" s="1" t="s">
        <v>91</v>
      </c>
      <c r="B19" s="1" t="s">
        <v>104</v>
      </c>
      <c r="C19" s="1" t="s">
        <v>157</v>
      </c>
      <c r="D19" s="1" t="s">
        <v>26</v>
      </c>
      <c r="E19" s="1" t="s">
        <v>90</v>
      </c>
      <c r="F19" s="1" t="s">
        <v>90</v>
      </c>
    </row>
    <row r="20" customFormat="false" ht="15" hidden="false" customHeight="true" outlineLevel="0" collapsed="false">
      <c r="A20" s="1" t="s">
        <v>115</v>
      </c>
      <c r="B20" s="1" t="s">
        <v>126</v>
      </c>
      <c r="C20" s="1" t="s">
        <v>157</v>
      </c>
      <c r="D20" s="1" t="s">
        <v>44</v>
      </c>
      <c r="E20" s="1" t="s">
        <v>58</v>
      </c>
      <c r="F20" s="1" t="s">
        <v>58</v>
      </c>
    </row>
    <row r="21" customFormat="false" ht="15" hidden="false" customHeight="true" outlineLevel="0" collapsed="false">
      <c r="A21" s="1" t="s">
        <v>115</v>
      </c>
      <c r="B21" s="1" t="s">
        <v>126</v>
      </c>
      <c r="C21" s="1" t="s">
        <v>157</v>
      </c>
      <c r="D21" s="1" t="s">
        <v>36</v>
      </c>
      <c r="E21" s="1" t="s">
        <v>58</v>
      </c>
      <c r="F21" s="1" t="s">
        <v>58</v>
      </c>
    </row>
    <row r="22" customFormat="false" ht="15" hidden="false" customHeight="true" outlineLevel="0" collapsed="false">
      <c r="A22" s="1" t="s">
        <v>115</v>
      </c>
      <c r="B22" s="1" t="s">
        <v>126</v>
      </c>
      <c r="C22" s="1" t="s">
        <v>157</v>
      </c>
      <c r="D22" s="1" t="s">
        <v>26</v>
      </c>
      <c r="E22" s="1" t="s">
        <v>58</v>
      </c>
      <c r="F22" s="1" t="s">
        <v>58</v>
      </c>
    </row>
    <row r="23" customFormat="false" ht="15" hidden="false" customHeight="true" outlineLevel="0" collapsed="false">
      <c r="A23" s="1" t="s">
        <v>115</v>
      </c>
      <c r="B23" s="1" t="s">
        <v>130</v>
      </c>
      <c r="C23" s="1" t="s">
        <v>157</v>
      </c>
      <c r="D23" s="1" t="s">
        <v>44</v>
      </c>
      <c r="E23" s="1" t="s">
        <v>81</v>
      </c>
      <c r="F23" s="1" t="s">
        <v>81</v>
      </c>
    </row>
    <row r="24" customFormat="false" ht="15" hidden="false" customHeight="true" outlineLevel="0" collapsed="false">
      <c r="A24" s="1" t="s">
        <v>115</v>
      </c>
      <c r="B24" s="1" t="s">
        <v>130</v>
      </c>
      <c r="C24" s="1" t="s">
        <v>157</v>
      </c>
      <c r="D24" s="1" t="s">
        <v>36</v>
      </c>
      <c r="E24" s="1" t="s">
        <v>81</v>
      </c>
      <c r="F24" s="1" t="s">
        <v>58</v>
      </c>
    </row>
    <row r="25" customFormat="false" ht="15" hidden="false" customHeight="true" outlineLevel="0" collapsed="false">
      <c r="A25" s="1" t="s">
        <v>115</v>
      </c>
      <c r="B25" s="1" t="s">
        <v>130</v>
      </c>
      <c r="C25" s="1" t="s">
        <v>157</v>
      </c>
      <c r="D25" s="1" t="s">
        <v>26</v>
      </c>
      <c r="E25" s="1" t="s">
        <v>138</v>
      </c>
      <c r="F25" s="1" t="s">
        <v>81</v>
      </c>
    </row>
    <row r="26" customFormat="false" ht="15" hidden="false" customHeight="true" outlineLevel="0" collapsed="false">
      <c r="A26" s="1" t="s">
        <v>115</v>
      </c>
      <c r="B26" s="1" t="s">
        <v>128</v>
      </c>
      <c r="C26" s="1" t="s">
        <v>156</v>
      </c>
      <c r="D26" s="1" t="s">
        <v>44</v>
      </c>
      <c r="E26" s="1" t="s">
        <v>138</v>
      </c>
      <c r="F26" s="1" t="s">
        <v>58</v>
      </c>
    </row>
    <row r="27" customFormat="false" ht="15" hidden="false" customHeight="true" outlineLevel="0" collapsed="false">
      <c r="A27" s="1" t="s">
        <v>115</v>
      </c>
      <c r="B27" s="1" t="s">
        <v>128</v>
      </c>
      <c r="C27" s="1" t="s">
        <v>156</v>
      </c>
      <c r="D27" s="1" t="s">
        <v>36</v>
      </c>
      <c r="E27" s="1" t="s">
        <v>58</v>
      </c>
      <c r="F27" s="1" t="s">
        <v>58</v>
      </c>
    </row>
    <row r="28" customFormat="false" ht="15" hidden="false" customHeight="true" outlineLevel="0" collapsed="false">
      <c r="A28" s="1" t="s">
        <v>115</v>
      </c>
      <c r="B28" s="1" t="s">
        <v>128</v>
      </c>
      <c r="C28" s="1" t="s">
        <v>156</v>
      </c>
      <c r="D28" s="1" t="s">
        <v>26</v>
      </c>
      <c r="E28" s="1" t="s">
        <v>81</v>
      </c>
      <c r="F28" s="1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9"/>
    <col collapsed="false" customWidth="true" hidden="false" outlineLevel="0" max="4" min="4" style="1" width="11"/>
    <col collapsed="false" customWidth="true" hidden="false" outlineLevel="0" max="5" min="5" style="1" width="10"/>
    <col collapsed="false" customWidth="true" hidden="false" outlineLevel="0" max="7" min="6" style="1" width="12"/>
    <col collapsed="false" customWidth="true" hidden="false" outlineLevel="0" max="8" min="8" style="1" width="8"/>
    <col collapsed="false" customWidth="true" hidden="false" outlineLevel="0" max="9" min="9" style="1" width="14"/>
    <col collapsed="false" customWidth="true" hidden="false" outlineLevel="0" max="10" min="10" style="1" width="10"/>
    <col collapsed="false" customWidth="true" hidden="false" outlineLevel="0" max="11" min="11" style="1" width="8"/>
  </cols>
  <sheetData>
    <row r="1" customFormat="false" ht="54.75" hidden="false" customHeight="true" outlineLevel="0" collapsed="false">
      <c r="A1" s="10" t="s">
        <v>7</v>
      </c>
      <c r="B1" s="10" t="s">
        <v>158</v>
      </c>
      <c r="C1" s="10" t="s">
        <v>9</v>
      </c>
      <c r="D1" s="10" t="s">
        <v>8</v>
      </c>
      <c r="E1" s="10" t="s">
        <v>10</v>
      </c>
      <c r="F1" s="10" t="s">
        <v>159</v>
      </c>
      <c r="G1" s="10" t="s">
        <v>160</v>
      </c>
      <c r="H1" s="10" t="s">
        <v>161</v>
      </c>
      <c r="I1" s="10" t="s">
        <v>162</v>
      </c>
      <c r="J1" s="10" t="s">
        <v>163</v>
      </c>
      <c r="K1" s="10" t="s">
        <v>164</v>
      </c>
    </row>
    <row r="2" customFormat="false" ht="15" hidden="false" customHeight="true" outlineLevel="0" collapsed="false">
      <c r="A2" s="1" t="s">
        <v>23</v>
      </c>
      <c r="B2" s="1" t="s">
        <v>165</v>
      </c>
      <c r="C2" s="1" t="s">
        <v>149</v>
      </c>
      <c r="D2" s="1" t="s">
        <v>166</v>
      </c>
      <c r="E2" s="1" t="s">
        <v>26</v>
      </c>
      <c r="F2" s="1" t="n">
        <v>323</v>
      </c>
      <c r="G2" s="1" t="n">
        <v>1657</v>
      </c>
      <c r="H2" s="7" t="n">
        <f aca="false">F2/G2</f>
        <v>0.194930597465299</v>
      </c>
      <c r="I2" s="1" t="n">
        <v>246</v>
      </c>
      <c r="J2" s="1" t="n">
        <v>264</v>
      </c>
      <c r="K2" s="7" t="n">
        <f aca="false">IF(J2&gt;0,I2/J2,"")</f>
        <v>0.931818181818182</v>
      </c>
    </row>
    <row r="3" customFormat="false" ht="15" hidden="false" customHeight="true" outlineLevel="0" collapsed="false">
      <c r="A3" s="1" t="s">
        <v>23</v>
      </c>
      <c r="B3" s="1" t="s">
        <v>167</v>
      </c>
      <c r="C3" s="1" t="s">
        <v>149</v>
      </c>
      <c r="D3" s="1" t="s">
        <v>166</v>
      </c>
      <c r="E3" s="1" t="s">
        <v>36</v>
      </c>
      <c r="F3" s="1" t="n">
        <v>10</v>
      </c>
      <c r="G3" s="1" t="n">
        <v>1657</v>
      </c>
      <c r="H3" s="7" t="n">
        <f aca="false">F3/G3</f>
        <v>0.00603500301750151</v>
      </c>
      <c r="I3" s="1" t="n">
        <v>0</v>
      </c>
      <c r="J3" s="1" t="n">
        <v>264</v>
      </c>
      <c r="K3" s="7" t="n">
        <f aca="false">IF(J3&gt;0,I3/J3,"")</f>
        <v>0</v>
      </c>
    </row>
    <row r="4" customFormat="false" ht="15" hidden="false" customHeight="true" outlineLevel="0" collapsed="false">
      <c r="A4" s="1" t="s">
        <v>23</v>
      </c>
      <c r="B4" s="1" t="s">
        <v>168</v>
      </c>
      <c r="C4" s="1" t="s">
        <v>149</v>
      </c>
      <c r="D4" s="1" t="s">
        <v>166</v>
      </c>
      <c r="E4" s="1" t="s">
        <v>36</v>
      </c>
      <c r="F4" s="1" t="n">
        <v>0</v>
      </c>
      <c r="G4" s="1" t="n">
        <v>189</v>
      </c>
      <c r="H4" s="7" t="n">
        <f aca="false">F4/G4</f>
        <v>0</v>
      </c>
      <c r="K4" s="7" t="str">
        <f aca="false">IF(J4&gt;0,I4/J4,"")</f>
        <v/>
      </c>
    </row>
    <row r="5" customFormat="false" ht="15" hidden="false" customHeight="true" outlineLevel="0" collapsed="false">
      <c r="A5" s="1" t="s">
        <v>23</v>
      </c>
      <c r="B5" s="1" t="s">
        <v>169</v>
      </c>
      <c r="C5" s="1" t="s">
        <v>149</v>
      </c>
      <c r="D5" s="1" t="s">
        <v>166</v>
      </c>
      <c r="E5" s="1" t="s">
        <v>44</v>
      </c>
      <c r="F5" s="1" t="n">
        <v>0</v>
      </c>
      <c r="G5" s="1" t="n">
        <v>189</v>
      </c>
      <c r="H5" s="7" t="n">
        <f aca="false">F5/G5</f>
        <v>0</v>
      </c>
      <c r="K5" s="7" t="str">
        <f aca="false">IF(J5&gt;0,I5/J5,"")</f>
        <v/>
      </c>
    </row>
    <row r="6" customFormat="false" ht="15" hidden="false" customHeight="true" outlineLevel="0" collapsed="false">
      <c r="A6" s="1" t="s">
        <v>23</v>
      </c>
      <c r="B6" s="1" t="s">
        <v>170</v>
      </c>
      <c r="C6" s="1" t="s">
        <v>149</v>
      </c>
      <c r="D6" s="1" t="s">
        <v>166</v>
      </c>
      <c r="E6" s="1" t="s">
        <v>26</v>
      </c>
      <c r="F6" s="1" t="n">
        <v>102</v>
      </c>
      <c r="G6" s="1" t="n">
        <v>107</v>
      </c>
      <c r="H6" s="7" t="n">
        <f aca="false">F6/G6</f>
        <v>0.953271028037383</v>
      </c>
      <c r="I6" s="1" t="n">
        <v>102</v>
      </c>
      <c r="J6" s="1" t="n">
        <v>107</v>
      </c>
      <c r="K6" s="7" t="n">
        <f aca="false">IF(J6&gt;0,I6/J6,"")</f>
        <v>0.953271028037383</v>
      </c>
    </row>
    <row r="7" customFormat="false" ht="15" hidden="false" customHeight="true" outlineLevel="0" collapsed="false">
      <c r="A7" s="1" t="s">
        <v>23</v>
      </c>
      <c r="B7" s="1" t="s">
        <v>171</v>
      </c>
      <c r="C7" s="1" t="s">
        <v>149</v>
      </c>
      <c r="D7" s="1" t="s">
        <v>166</v>
      </c>
      <c r="E7" s="1" t="s">
        <v>36</v>
      </c>
      <c r="F7" s="1" t="n">
        <v>92</v>
      </c>
      <c r="G7" s="1" t="n">
        <v>107</v>
      </c>
      <c r="H7" s="7" t="n">
        <f aca="false">F7/G7</f>
        <v>0.85981308411215</v>
      </c>
      <c r="I7" s="1" t="n">
        <v>92</v>
      </c>
      <c r="J7" s="1" t="n">
        <v>107</v>
      </c>
      <c r="K7" s="7" t="n">
        <f aca="false">IF(J7&gt;0,I7/J7,"")</f>
        <v>0.85981308411215</v>
      </c>
    </row>
    <row r="8" customFormat="false" ht="15" hidden="false" customHeight="true" outlineLevel="0" collapsed="false">
      <c r="A8" s="1" t="s">
        <v>23</v>
      </c>
      <c r="B8" s="1" t="s">
        <v>172</v>
      </c>
      <c r="C8" s="1" t="s">
        <v>149</v>
      </c>
      <c r="D8" s="1" t="s">
        <v>166</v>
      </c>
      <c r="E8" s="1" t="s">
        <v>44</v>
      </c>
      <c r="F8" s="1" t="n">
        <v>92</v>
      </c>
      <c r="G8" s="1" t="n">
        <v>107</v>
      </c>
      <c r="H8" s="7" t="n">
        <f aca="false">F8/G8</f>
        <v>0.85981308411215</v>
      </c>
      <c r="I8" s="1" t="n">
        <v>92</v>
      </c>
      <c r="J8" s="1" t="n">
        <v>107</v>
      </c>
      <c r="K8" s="7" t="n">
        <f aca="false">IF(J8&gt;0,I8/J8,"")</f>
        <v>0.85981308411215</v>
      </c>
    </row>
    <row r="9" customFormat="false" ht="15" hidden="false" customHeight="true" outlineLevel="0" collapsed="false">
      <c r="A9" s="1" t="s">
        <v>23</v>
      </c>
      <c r="B9" s="1" t="s">
        <v>173</v>
      </c>
      <c r="C9" s="1" t="s">
        <v>149</v>
      </c>
      <c r="D9" s="1" t="s">
        <v>174</v>
      </c>
      <c r="E9" s="1" t="s">
        <v>26</v>
      </c>
      <c r="F9" s="1" t="n">
        <v>3</v>
      </c>
      <c r="G9" s="1" t="n">
        <v>46</v>
      </c>
      <c r="H9" s="7" t="n">
        <f aca="false">F9/G9</f>
        <v>0.0652173913043478</v>
      </c>
      <c r="I9" s="1" t="n">
        <v>3</v>
      </c>
      <c r="J9" s="1" t="n">
        <v>46</v>
      </c>
      <c r="K9" s="7" t="n">
        <f aca="false">IF(J9&gt;0,I9/J9,"")</f>
        <v>0.0652173913043478</v>
      </c>
    </row>
    <row r="10" customFormat="false" ht="15" hidden="false" customHeight="true" outlineLevel="0" collapsed="false">
      <c r="A10" s="1" t="s">
        <v>23</v>
      </c>
      <c r="B10" s="1" t="s">
        <v>175</v>
      </c>
      <c r="C10" s="1" t="s">
        <v>149</v>
      </c>
      <c r="D10" s="1" t="s">
        <v>174</v>
      </c>
      <c r="E10" s="1" t="s">
        <v>36</v>
      </c>
      <c r="F10" s="1" t="n">
        <v>3</v>
      </c>
      <c r="G10" s="1" t="n">
        <v>46</v>
      </c>
      <c r="H10" s="7" t="n">
        <f aca="false">F10/G10</f>
        <v>0.0652173913043478</v>
      </c>
      <c r="I10" s="1" t="n">
        <v>3</v>
      </c>
      <c r="J10" s="1" t="n">
        <v>46</v>
      </c>
      <c r="K10" s="7" t="n">
        <f aca="false">IF(J10&gt;0,I10/J10,"")</f>
        <v>0.0652173913043478</v>
      </c>
    </row>
    <row r="11" customFormat="false" ht="15" hidden="false" customHeight="true" outlineLevel="0" collapsed="false">
      <c r="A11" s="1" t="s">
        <v>23</v>
      </c>
      <c r="B11" s="1" t="s">
        <v>176</v>
      </c>
      <c r="C11" s="1" t="s">
        <v>149</v>
      </c>
      <c r="D11" s="1" t="s">
        <v>174</v>
      </c>
      <c r="E11" s="1" t="s">
        <v>44</v>
      </c>
      <c r="F11" s="1" t="n">
        <v>3</v>
      </c>
      <c r="G11" s="1" t="n">
        <v>46</v>
      </c>
      <c r="H11" s="7" t="n">
        <f aca="false">F11/G11</f>
        <v>0.0652173913043478</v>
      </c>
      <c r="I11" s="1" t="n">
        <v>3</v>
      </c>
      <c r="J11" s="1" t="n">
        <v>46</v>
      </c>
      <c r="K11" s="7" t="n">
        <f aca="false">IF(J11&gt;0,I11/J11,"")</f>
        <v>0.0652173913043478</v>
      </c>
    </row>
    <row r="12" customFormat="false" ht="15" hidden="false" customHeight="true" outlineLevel="0" collapsed="false">
      <c r="A12" s="1" t="s">
        <v>23</v>
      </c>
      <c r="B12" s="1" t="s">
        <v>177</v>
      </c>
      <c r="C12" s="1" t="s">
        <v>149</v>
      </c>
      <c r="D12" s="1" t="s">
        <v>174</v>
      </c>
      <c r="E12" s="1" t="s">
        <v>26</v>
      </c>
      <c r="F12" s="1" t="n">
        <v>13</v>
      </c>
      <c r="G12" s="1" t="n">
        <v>46</v>
      </c>
      <c r="H12" s="7" t="n">
        <f aca="false">F12/G12</f>
        <v>0.282608695652174</v>
      </c>
      <c r="I12" s="1" t="n">
        <v>13</v>
      </c>
      <c r="J12" s="1" t="n">
        <v>46</v>
      </c>
      <c r="K12" s="7" t="n">
        <f aca="false">IF(J12&gt;0,I12/J12,"")</f>
        <v>0.282608695652174</v>
      </c>
    </row>
    <row r="13" customFormat="false" ht="15" hidden="false" customHeight="true" outlineLevel="0" collapsed="false">
      <c r="A13" s="1" t="s">
        <v>23</v>
      </c>
      <c r="B13" s="1" t="s">
        <v>178</v>
      </c>
      <c r="C13" s="1" t="s">
        <v>149</v>
      </c>
      <c r="D13" s="1" t="s">
        <v>174</v>
      </c>
      <c r="E13" s="1" t="s">
        <v>36</v>
      </c>
      <c r="F13" s="1" t="n">
        <v>13</v>
      </c>
      <c r="G13" s="1" t="n">
        <v>46</v>
      </c>
      <c r="H13" s="7" t="n">
        <f aca="false">F13/G13</f>
        <v>0.282608695652174</v>
      </c>
      <c r="I13" s="1" t="n">
        <v>13</v>
      </c>
      <c r="J13" s="1" t="n">
        <v>46</v>
      </c>
      <c r="K13" s="7" t="n">
        <f aca="false">IF(J13&gt;0,I13/J13,"")</f>
        <v>0.282608695652174</v>
      </c>
    </row>
    <row r="14" customFormat="false" ht="15" hidden="false" customHeight="true" outlineLevel="0" collapsed="false">
      <c r="A14" s="1" t="s">
        <v>23</v>
      </c>
      <c r="B14" s="1" t="s">
        <v>179</v>
      </c>
      <c r="C14" s="1" t="s">
        <v>149</v>
      </c>
      <c r="D14" s="1" t="s">
        <v>174</v>
      </c>
      <c r="E14" s="1" t="s">
        <v>44</v>
      </c>
      <c r="F14" s="1" t="n">
        <v>13</v>
      </c>
      <c r="G14" s="1" t="n">
        <v>46</v>
      </c>
      <c r="H14" s="7" t="n">
        <f aca="false">F14/G14</f>
        <v>0.282608695652174</v>
      </c>
      <c r="I14" s="1" t="n">
        <v>13</v>
      </c>
      <c r="J14" s="1" t="n">
        <v>46</v>
      </c>
      <c r="K14" s="7" t="n">
        <f aca="false">IF(J14&gt;0,I14/J14,"")</f>
        <v>0.282608695652174</v>
      </c>
    </row>
    <row r="15" customFormat="false" ht="15" hidden="false" customHeight="true" outlineLevel="0" collapsed="false">
      <c r="A15" s="1" t="s">
        <v>23</v>
      </c>
      <c r="B15" s="1" t="s">
        <v>180</v>
      </c>
      <c r="C15" s="1" t="s">
        <v>149</v>
      </c>
      <c r="D15" s="1" t="s">
        <v>174</v>
      </c>
      <c r="E15" s="1" t="s">
        <v>26</v>
      </c>
      <c r="F15" s="1" t="n">
        <v>4</v>
      </c>
      <c r="G15" s="1" t="n">
        <v>46</v>
      </c>
      <c r="H15" s="7" t="n">
        <f aca="false">F15/G15</f>
        <v>0.0869565217391304</v>
      </c>
      <c r="I15" s="1" t="n">
        <v>4</v>
      </c>
      <c r="J15" s="1" t="n">
        <v>46</v>
      </c>
      <c r="K15" s="7" t="n">
        <f aca="false">IF(J15&gt;0,I15/J15,"")</f>
        <v>0.0869565217391304</v>
      </c>
    </row>
    <row r="16" customFormat="false" ht="15" hidden="false" customHeight="true" outlineLevel="0" collapsed="false">
      <c r="A16" s="1" t="s">
        <v>23</v>
      </c>
      <c r="B16" s="1" t="s">
        <v>181</v>
      </c>
      <c r="C16" s="1" t="s">
        <v>149</v>
      </c>
      <c r="D16" s="1" t="s">
        <v>174</v>
      </c>
      <c r="E16" s="1" t="s">
        <v>26</v>
      </c>
      <c r="F16" s="1" t="n">
        <v>3</v>
      </c>
      <c r="G16" s="1" t="n">
        <v>46</v>
      </c>
      <c r="H16" s="7" t="n">
        <f aca="false">F16/G16</f>
        <v>0.0652173913043478</v>
      </c>
      <c r="I16" s="1" t="n">
        <v>3</v>
      </c>
      <c r="J16" s="1" t="n">
        <v>46</v>
      </c>
      <c r="K16" s="7" t="n">
        <f aca="false">IF(J16&gt;0,I16/J16,"")</f>
        <v>0.0652173913043478</v>
      </c>
    </row>
    <row r="17" customFormat="false" ht="15" hidden="false" customHeight="true" outlineLevel="0" collapsed="false">
      <c r="A17" s="1" t="s">
        <v>23</v>
      </c>
      <c r="B17" s="1" t="s">
        <v>182</v>
      </c>
      <c r="C17" s="1" t="s">
        <v>149</v>
      </c>
      <c r="D17" s="1" t="s">
        <v>174</v>
      </c>
      <c r="E17" s="1" t="s">
        <v>36</v>
      </c>
      <c r="F17" s="1" t="n">
        <v>3</v>
      </c>
      <c r="G17" s="1" t="n">
        <v>46</v>
      </c>
      <c r="H17" s="7" t="n">
        <f aca="false">F17/G17</f>
        <v>0.0652173913043478</v>
      </c>
      <c r="I17" s="1" t="n">
        <v>3</v>
      </c>
      <c r="J17" s="1" t="n">
        <v>46</v>
      </c>
      <c r="K17" s="7" t="n">
        <f aca="false">IF(J17&gt;0,I17/J17,"")</f>
        <v>0.0652173913043478</v>
      </c>
    </row>
    <row r="18" customFormat="false" ht="15" hidden="false" customHeight="true" outlineLevel="0" collapsed="false">
      <c r="A18" s="1" t="s">
        <v>23</v>
      </c>
      <c r="B18" s="1" t="s">
        <v>183</v>
      </c>
      <c r="C18" s="1" t="s">
        <v>149</v>
      </c>
      <c r="D18" s="1" t="s">
        <v>174</v>
      </c>
      <c r="E18" s="1" t="s">
        <v>44</v>
      </c>
      <c r="F18" s="1" t="n">
        <v>3</v>
      </c>
      <c r="G18" s="1" t="n">
        <v>46</v>
      </c>
      <c r="H18" s="7" t="n">
        <f aca="false">F18/G18</f>
        <v>0.0652173913043478</v>
      </c>
      <c r="I18" s="1" t="n">
        <v>3</v>
      </c>
      <c r="J18" s="1" t="n">
        <v>46</v>
      </c>
      <c r="K18" s="7" t="n">
        <f aca="false">IF(J18&gt;0,I18/J18,"")</f>
        <v>0.0652173913043478</v>
      </c>
    </row>
    <row r="19" customFormat="false" ht="15" hidden="false" customHeight="true" outlineLevel="0" collapsed="false">
      <c r="A19" s="1" t="s">
        <v>23</v>
      </c>
      <c r="B19" s="1" t="s">
        <v>184</v>
      </c>
      <c r="C19" s="1" t="s">
        <v>149</v>
      </c>
      <c r="D19" s="1" t="s">
        <v>174</v>
      </c>
      <c r="E19" s="1" t="s">
        <v>36</v>
      </c>
      <c r="F19" s="1" t="n">
        <v>4</v>
      </c>
      <c r="G19" s="1" t="n">
        <v>46</v>
      </c>
      <c r="H19" s="7" t="n">
        <f aca="false">F19/G19</f>
        <v>0.0869565217391304</v>
      </c>
      <c r="I19" s="1" t="n">
        <v>4</v>
      </c>
      <c r="J19" s="1" t="n">
        <v>46</v>
      </c>
      <c r="K19" s="7" t="n">
        <f aca="false">IF(J19&gt;0,I19/J19,"")</f>
        <v>0.0869565217391304</v>
      </c>
    </row>
    <row r="20" customFormat="false" ht="15" hidden="false" customHeight="true" outlineLevel="0" collapsed="false">
      <c r="A20" s="1" t="s">
        <v>23</v>
      </c>
      <c r="B20" s="1" t="s">
        <v>185</v>
      </c>
      <c r="C20" s="1" t="s">
        <v>149</v>
      </c>
      <c r="D20" s="1" t="s">
        <v>174</v>
      </c>
      <c r="E20" s="1" t="s">
        <v>26</v>
      </c>
      <c r="F20" s="1" t="n">
        <v>3</v>
      </c>
      <c r="G20" s="1" t="n">
        <v>46</v>
      </c>
      <c r="H20" s="7" t="n">
        <f aca="false">F20/G20</f>
        <v>0.0652173913043478</v>
      </c>
      <c r="I20" s="1" t="n">
        <v>3</v>
      </c>
      <c r="J20" s="1" t="n">
        <v>46</v>
      </c>
      <c r="K20" s="7" t="n">
        <f aca="false">IF(J20&gt;0,I20/J20,"")</f>
        <v>0.0652173913043478</v>
      </c>
    </row>
    <row r="21" customFormat="false" ht="15" hidden="false" customHeight="true" outlineLevel="0" collapsed="false">
      <c r="A21" s="1" t="s">
        <v>23</v>
      </c>
      <c r="B21" s="1" t="s">
        <v>186</v>
      </c>
      <c r="C21" s="1" t="s">
        <v>149</v>
      </c>
      <c r="D21" s="1" t="s">
        <v>174</v>
      </c>
      <c r="E21" s="1" t="s">
        <v>36</v>
      </c>
      <c r="F21" s="1" t="n">
        <v>3</v>
      </c>
      <c r="G21" s="1" t="n">
        <v>46</v>
      </c>
      <c r="H21" s="7" t="n">
        <f aca="false">F21/G21</f>
        <v>0.0652173913043478</v>
      </c>
      <c r="I21" s="1" t="n">
        <v>3</v>
      </c>
      <c r="J21" s="1" t="n">
        <v>46</v>
      </c>
      <c r="K21" s="7" t="n">
        <f aca="false">IF(J21&gt;0,I21/J21,"")</f>
        <v>0.0652173913043478</v>
      </c>
    </row>
    <row r="22" customFormat="false" ht="15" hidden="false" customHeight="true" outlineLevel="0" collapsed="false">
      <c r="A22" s="1" t="s">
        <v>23</v>
      </c>
      <c r="B22" s="1" t="s">
        <v>187</v>
      </c>
      <c r="C22" s="1" t="s">
        <v>149</v>
      </c>
      <c r="D22" s="1" t="s">
        <v>174</v>
      </c>
      <c r="E22" s="1" t="s">
        <v>44</v>
      </c>
      <c r="F22" s="1" t="n">
        <v>3</v>
      </c>
      <c r="G22" s="1" t="n">
        <v>46</v>
      </c>
      <c r="H22" s="7" t="n">
        <f aca="false">F22/G22</f>
        <v>0.0652173913043478</v>
      </c>
      <c r="I22" s="1" t="n">
        <v>3</v>
      </c>
      <c r="J22" s="1" t="n">
        <v>46</v>
      </c>
      <c r="K22" s="7" t="n">
        <f aca="false">IF(J22&gt;0,I22/J22,"")</f>
        <v>0.0652173913043478</v>
      </c>
    </row>
    <row r="23" customFormat="false" ht="15" hidden="false" customHeight="true" outlineLevel="0" collapsed="false">
      <c r="A23" s="1" t="s">
        <v>23</v>
      </c>
      <c r="B23" s="1" t="s">
        <v>188</v>
      </c>
      <c r="C23" s="1" t="s">
        <v>149</v>
      </c>
      <c r="D23" s="1" t="s">
        <v>174</v>
      </c>
      <c r="E23" s="1" t="s">
        <v>44</v>
      </c>
      <c r="F23" s="1" t="n">
        <v>4</v>
      </c>
      <c r="G23" s="1" t="n">
        <v>46</v>
      </c>
      <c r="H23" s="7" t="n">
        <f aca="false">F23/G23</f>
        <v>0.0869565217391304</v>
      </c>
      <c r="I23" s="1" t="n">
        <v>4</v>
      </c>
      <c r="J23" s="1" t="n">
        <v>46</v>
      </c>
      <c r="K23" s="7" t="n">
        <f aca="false">IF(J23&gt;0,I23/J23,"")</f>
        <v>0.0869565217391304</v>
      </c>
    </row>
    <row r="24" customFormat="false" ht="15" hidden="false" customHeight="true" outlineLevel="0" collapsed="false">
      <c r="A24" s="1" t="s">
        <v>23</v>
      </c>
      <c r="B24" s="1" t="s">
        <v>189</v>
      </c>
      <c r="C24" s="1" t="s">
        <v>149</v>
      </c>
      <c r="D24" s="1" t="s">
        <v>174</v>
      </c>
      <c r="E24" s="1" t="s">
        <v>26</v>
      </c>
      <c r="F24" s="1" t="n">
        <v>3</v>
      </c>
      <c r="G24" s="1" t="n">
        <v>46</v>
      </c>
      <c r="H24" s="7" t="n">
        <f aca="false">F24/G24</f>
        <v>0.0652173913043478</v>
      </c>
      <c r="I24" s="1" t="n">
        <v>3</v>
      </c>
      <c r="J24" s="1" t="n">
        <v>46</v>
      </c>
      <c r="K24" s="7" t="n">
        <f aca="false">IF(J24&gt;0,I24/J24,"")</f>
        <v>0.0652173913043478</v>
      </c>
    </row>
    <row r="25" customFormat="false" ht="15" hidden="false" customHeight="true" outlineLevel="0" collapsed="false">
      <c r="A25" s="1" t="s">
        <v>23</v>
      </c>
      <c r="B25" s="1" t="s">
        <v>190</v>
      </c>
      <c r="C25" s="1" t="s">
        <v>149</v>
      </c>
      <c r="D25" s="1" t="s">
        <v>174</v>
      </c>
      <c r="E25" s="1" t="s">
        <v>36</v>
      </c>
      <c r="F25" s="1" t="n">
        <v>3</v>
      </c>
      <c r="G25" s="1" t="n">
        <v>46</v>
      </c>
      <c r="H25" s="7" t="n">
        <f aca="false">F25/G25</f>
        <v>0.0652173913043478</v>
      </c>
      <c r="I25" s="1" t="n">
        <v>3</v>
      </c>
      <c r="J25" s="1" t="n">
        <v>46</v>
      </c>
      <c r="K25" s="7" t="n">
        <f aca="false">IF(J25&gt;0,I25/J25,"")</f>
        <v>0.0652173913043478</v>
      </c>
    </row>
    <row r="26" customFormat="false" ht="15" hidden="false" customHeight="true" outlineLevel="0" collapsed="false">
      <c r="A26" s="1" t="s">
        <v>23</v>
      </c>
      <c r="B26" s="1" t="s">
        <v>191</v>
      </c>
      <c r="C26" s="1" t="s">
        <v>149</v>
      </c>
      <c r="D26" s="1" t="s">
        <v>174</v>
      </c>
      <c r="E26" s="1" t="s">
        <v>44</v>
      </c>
      <c r="F26" s="1" t="n">
        <v>3</v>
      </c>
      <c r="G26" s="1" t="n">
        <v>46</v>
      </c>
      <c r="H26" s="7" t="n">
        <f aca="false">F26/G26</f>
        <v>0.0652173913043478</v>
      </c>
      <c r="I26" s="1" t="n">
        <v>3</v>
      </c>
      <c r="J26" s="1" t="n">
        <v>46</v>
      </c>
      <c r="K26" s="7" t="n">
        <f aca="false">IF(J26&gt;0,I26/J26,"")</f>
        <v>0.0652173913043478</v>
      </c>
    </row>
    <row r="27" customFormat="false" ht="15" hidden="false" customHeight="true" outlineLevel="0" collapsed="false">
      <c r="A27" s="1" t="s">
        <v>23</v>
      </c>
      <c r="B27" s="1" t="s">
        <v>192</v>
      </c>
      <c r="C27" s="1" t="s">
        <v>149</v>
      </c>
      <c r="D27" s="1" t="s">
        <v>174</v>
      </c>
      <c r="E27" s="1" t="s">
        <v>26</v>
      </c>
      <c r="F27" s="1" t="n">
        <v>3</v>
      </c>
      <c r="G27" s="1" t="n">
        <v>46</v>
      </c>
      <c r="H27" s="7" t="n">
        <f aca="false">F27/G27</f>
        <v>0.0652173913043478</v>
      </c>
      <c r="I27" s="1" t="n">
        <v>3</v>
      </c>
      <c r="J27" s="1" t="n">
        <v>46</v>
      </c>
      <c r="K27" s="7" t="n">
        <f aca="false">IF(J27&gt;0,I27/J27,"")</f>
        <v>0.0652173913043478</v>
      </c>
    </row>
    <row r="28" customFormat="false" ht="15" hidden="false" customHeight="true" outlineLevel="0" collapsed="false">
      <c r="A28" s="1" t="s">
        <v>23</v>
      </c>
      <c r="B28" s="1" t="s">
        <v>193</v>
      </c>
      <c r="C28" s="1" t="s">
        <v>149</v>
      </c>
      <c r="D28" s="1" t="s">
        <v>174</v>
      </c>
      <c r="E28" s="1" t="s">
        <v>36</v>
      </c>
      <c r="F28" s="1" t="n">
        <v>3</v>
      </c>
      <c r="G28" s="1" t="n">
        <v>46</v>
      </c>
      <c r="H28" s="7" t="n">
        <f aca="false">F28/G28</f>
        <v>0.0652173913043478</v>
      </c>
      <c r="I28" s="1" t="n">
        <v>3</v>
      </c>
      <c r="J28" s="1" t="n">
        <v>46</v>
      </c>
      <c r="K28" s="7" t="n">
        <f aca="false">IF(J28&gt;0,I28/J28,"")</f>
        <v>0.0652173913043478</v>
      </c>
    </row>
    <row r="29" customFormat="false" ht="15" hidden="false" customHeight="true" outlineLevel="0" collapsed="false">
      <c r="A29" s="1" t="s">
        <v>23</v>
      </c>
      <c r="B29" s="1" t="s">
        <v>194</v>
      </c>
      <c r="C29" s="1" t="s">
        <v>149</v>
      </c>
      <c r="D29" s="1" t="s">
        <v>174</v>
      </c>
      <c r="E29" s="1" t="s">
        <v>44</v>
      </c>
      <c r="F29" s="1" t="n">
        <v>3</v>
      </c>
      <c r="G29" s="1" t="n">
        <v>46</v>
      </c>
      <c r="H29" s="7" t="n">
        <f aca="false">F29/G29</f>
        <v>0.0652173913043478</v>
      </c>
      <c r="I29" s="1" t="n">
        <v>3</v>
      </c>
      <c r="J29" s="1" t="n">
        <v>46</v>
      </c>
      <c r="K29" s="7" t="n">
        <f aca="false">IF(J29&gt;0,I29/J29,"")</f>
        <v>0.0652173913043478</v>
      </c>
    </row>
    <row r="30" customFormat="false" ht="15" hidden="false" customHeight="true" outlineLevel="0" collapsed="false">
      <c r="A30" s="1" t="s">
        <v>23</v>
      </c>
      <c r="B30" s="1" t="s">
        <v>195</v>
      </c>
      <c r="C30" s="1" t="s">
        <v>149</v>
      </c>
      <c r="D30" s="1" t="s">
        <v>196</v>
      </c>
      <c r="E30" s="1" t="s">
        <v>26</v>
      </c>
      <c r="F30" s="1" t="n">
        <v>272</v>
      </c>
      <c r="G30" s="1" t="n">
        <v>1657</v>
      </c>
      <c r="H30" s="7" t="n">
        <f aca="false">F30/G30</f>
        <v>0.164152082076041</v>
      </c>
      <c r="I30" s="1" t="n">
        <v>222</v>
      </c>
      <c r="J30" s="1" t="n">
        <v>264</v>
      </c>
      <c r="K30" s="7" t="n">
        <f aca="false">IF(J30&gt;0,I30/J30,"")</f>
        <v>0.840909090909091</v>
      </c>
    </row>
    <row r="31" customFormat="false" ht="15" hidden="false" customHeight="true" outlineLevel="0" collapsed="false">
      <c r="A31" s="1" t="s">
        <v>23</v>
      </c>
      <c r="B31" s="1" t="s">
        <v>197</v>
      </c>
      <c r="C31" s="1" t="s">
        <v>149</v>
      </c>
      <c r="D31" s="1" t="s">
        <v>196</v>
      </c>
      <c r="E31" s="1" t="s">
        <v>36</v>
      </c>
      <c r="F31" s="1" t="n">
        <v>231</v>
      </c>
      <c r="G31" s="1" t="n">
        <v>1657</v>
      </c>
      <c r="H31" s="7" t="n">
        <f aca="false">F31/G31</f>
        <v>0.139408569704285</v>
      </c>
      <c r="I31" s="1" t="n">
        <v>221</v>
      </c>
      <c r="J31" s="1" t="n">
        <v>264</v>
      </c>
      <c r="K31" s="7" t="n">
        <f aca="false">IF(J31&gt;0,I31/J31,"")</f>
        <v>0.837121212121212</v>
      </c>
    </row>
    <row r="32" customFormat="false" ht="15" hidden="false" customHeight="true" outlineLevel="0" collapsed="false">
      <c r="A32" s="1" t="s">
        <v>23</v>
      </c>
      <c r="B32" s="1" t="s">
        <v>198</v>
      </c>
      <c r="C32" s="1" t="s">
        <v>149</v>
      </c>
      <c r="D32" s="1" t="s">
        <v>196</v>
      </c>
      <c r="E32" s="1" t="s">
        <v>44</v>
      </c>
      <c r="F32" s="1" t="n">
        <v>276</v>
      </c>
      <c r="G32" s="1" t="n">
        <v>1657</v>
      </c>
      <c r="H32" s="7" t="n">
        <f aca="false">F32/G32</f>
        <v>0.166566083283042</v>
      </c>
      <c r="I32" s="1" t="n">
        <v>226</v>
      </c>
      <c r="J32" s="1" t="n">
        <v>264</v>
      </c>
      <c r="K32" s="7" t="n">
        <f aca="false">IF(J32&gt;0,I32/J32,"")</f>
        <v>0.856060606060606</v>
      </c>
    </row>
    <row r="33" customFormat="false" ht="15" hidden="false" customHeight="true" outlineLevel="0" collapsed="false">
      <c r="A33" s="1" t="s">
        <v>23</v>
      </c>
      <c r="B33" s="1" t="s">
        <v>199</v>
      </c>
      <c r="C33" s="1" t="s">
        <v>149</v>
      </c>
      <c r="D33" s="1" t="s">
        <v>196</v>
      </c>
      <c r="E33" s="1" t="s">
        <v>26</v>
      </c>
      <c r="F33" s="1" t="n">
        <v>111</v>
      </c>
      <c r="G33" s="1" t="n">
        <v>1657</v>
      </c>
      <c r="H33" s="7" t="n">
        <f aca="false">F33/G33</f>
        <v>0.0669885334942667</v>
      </c>
      <c r="I33" s="1" t="n">
        <v>101</v>
      </c>
      <c r="J33" s="1" t="n">
        <v>107</v>
      </c>
      <c r="K33" s="7" t="n">
        <f aca="false">IF(J33&gt;0,I33/J33,"")</f>
        <v>0.94392523364486</v>
      </c>
    </row>
    <row r="34" customFormat="false" ht="15" hidden="false" customHeight="true" outlineLevel="0" collapsed="false">
      <c r="A34" s="1" t="s">
        <v>23</v>
      </c>
      <c r="B34" s="1" t="s">
        <v>200</v>
      </c>
      <c r="C34" s="1" t="s">
        <v>149</v>
      </c>
      <c r="D34" s="1" t="s">
        <v>196</v>
      </c>
      <c r="E34" s="1" t="s">
        <v>36</v>
      </c>
      <c r="F34" s="1" t="n">
        <v>112</v>
      </c>
      <c r="G34" s="1" t="n">
        <v>1657</v>
      </c>
      <c r="H34" s="7" t="n">
        <f aca="false">F34/G34</f>
        <v>0.0675920337960169</v>
      </c>
      <c r="I34" s="1" t="n">
        <v>102</v>
      </c>
      <c r="J34" s="1" t="n">
        <v>107</v>
      </c>
      <c r="K34" s="7" t="n">
        <f aca="false">IF(J34&gt;0,I34/J34,"")</f>
        <v>0.953271028037383</v>
      </c>
    </row>
    <row r="35" customFormat="false" ht="15" hidden="false" customHeight="true" outlineLevel="0" collapsed="false">
      <c r="A35" s="1" t="s">
        <v>23</v>
      </c>
      <c r="B35" s="1" t="s">
        <v>201</v>
      </c>
      <c r="C35" s="1" t="s">
        <v>149</v>
      </c>
      <c r="D35" s="1" t="s">
        <v>196</v>
      </c>
      <c r="E35" s="1" t="s">
        <v>44</v>
      </c>
      <c r="F35" s="1" t="n">
        <v>112</v>
      </c>
      <c r="G35" s="1" t="n">
        <v>1657</v>
      </c>
      <c r="H35" s="7" t="n">
        <f aca="false">F35/G35</f>
        <v>0.0675920337960169</v>
      </c>
      <c r="I35" s="1" t="n">
        <v>102</v>
      </c>
      <c r="J35" s="1" t="n">
        <v>107</v>
      </c>
      <c r="K35" s="7" t="n">
        <f aca="false">IF(J35&gt;0,I35/J35,"")</f>
        <v>0.953271028037383</v>
      </c>
    </row>
    <row r="36" customFormat="false" ht="15" hidden="false" customHeight="true" outlineLevel="0" collapsed="false">
      <c r="A36" s="1" t="s">
        <v>23</v>
      </c>
      <c r="B36" s="1" t="s">
        <v>202</v>
      </c>
      <c r="C36" s="1" t="s">
        <v>149</v>
      </c>
      <c r="D36" s="1" t="s">
        <v>196</v>
      </c>
      <c r="E36" s="1" t="s">
        <v>26</v>
      </c>
      <c r="F36" s="1" t="n">
        <v>246</v>
      </c>
      <c r="G36" s="1" t="n">
        <v>1657</v>
      </c>
      <c r="H36" s="7" t="n">
        <f aca="false">F36/G36</f>
        <v>0.148461074230537</v>
      </c>
      <c r="I36" s="1" t="n">
        <v>113</v>
      </c>
      <c r="J36" s="1" t="n">
        <v>214</v>
      </c>
      <c r="K36" s="7" t="n">
        <f aca="false">IF(J36&gt;0,I36/J36,"")</f>
        <v>0.52803738317757</v>
      </c>
    </row>
    <row r="37" customFormat="false" ht="15" hidden="false" customHeight="true" outlineLevel="0" collapsed="false">
      <c r="A37" s="1" t="s">
        <v>23</v>
      </c>
      <c r="B37" s="1" t="s">
        <v>203</v>
      </c>
      <c r="C37" s="1" t="s">
        <v>149</v>
      </c>
      <c r="D37" s="1" t="s">
        <v>196</v>
      </c>
      <c r="E37" s="1" t="s">
        <v>36</v>
      </c>
      <c r="F37" s="1" t="n">
        <v>270</v>
      </c>
      <c r="G37" s="1" t="n">
        <v>1657</v>
      </c>
      <c r="H37" s="7" t="n">
        <f aca="false">F37/G37</f>
        <v>0.162945081472541</v>
      </c>
      <c r="I37" s="1" t="n">
        <v>137</v>
      </c>
      <c r="J37" s="1" t="n">
        <v>214</v>
      </c>
      <c r="K37" s="7" t="n">
        <f aca="false">IF(J37&gt;0,I37/J37,"")</f>
        <v>0.640186915887851</v>
      </c>
    </row>
    <row r="38" customFormat="false" ht="15" hidden="false" customHeight="true" outlineLevel="0" collapsed="false">
      <c r="A38" s="1" t="s">
        <v>23</v>
      </c>
      <c r="B38" s="1" t="s">
        <v>204</v>
      </c>
      <c r="C38" s="1" t="s">
        <v>149</v>
      </c>
      <c r="D38" s="1" t="s">
        <v>196</v>
      </c>
      <c r="E38" s="1" t="s">
        <v>44</v>
      </c>
      <c r="F38" s="1" t="n">
        <v>201</v>
      </c>
      <c r="G38" s="1" t="n">
        <v>1657</v>
      </c>
      <c r="H38" s="7" t="n">
        <f aca="false">F38/G38</f>
        <v>0.12130356065178</v>
      </c>
      <c r="I38" s="1" t="n">
        <v>68</v>
      </c>
      <c r="J38" s="1" t="n">
        <v>214</v>
      </c>
      <c r="K38" s="7" t="n">
        <f aca="false">IF(J38&gt;0,I38/J38,"")</f>
        <v>0.317757009345794</v>
      </c>
    </row>
    <row r="39" customFormat="false" ht="15" hidden="false" customHeight="true" outlineLevel="0" collapsed="false">
      <c r="A39" s="1" t="s">
        <v>23</v>
      </c>
      <c r="B39" s="1" t="s">
        <v>165</v>
      </c>
      <c r="C39" s="1" t="s">
        <v>148</v>
      </c>
      <c r="D39" s="1" t="s">
        <v>166</v>
      </c>
      <c r="E39" s="1" t="s">
        <v>26</v>
      </c>
      <c r="F39" s="1" t="n">
        <v>242</v>
      </c>
      <c r="G39" s="1" t="n">
        <v>1657</v>
      </c>
      <c r="H39" s="7" t="n">
        <f aca="false">F39/G39</f>
        <v>0.146047073023537</v>
      </c>
      <c r="I39" s="1" t="n">
        <v>232</v>
      </c>
      <c r="J39" s="1" t="n">
        <v>264</v>
      </c>
      <c r="K39" s="7" t="n">
        <f aca="false">IF(J39&gt;0,I39/J39,"")</f>
        <v>0.878787878787879</v>
      </c>
    </row>
    <row r="40" customFormat="false" ht="15" hidden="false" customHeight="true" outlineLevel="0" collapsed="false">
      <c r="A40" s="1" t="s">
        <v>23</v>
      </c>
      <c r="B40" s="1" t="s">
        <v>167</v>
      </c>
      <c r="C40" s="1" t="s">
        <v>148</v>
      </c>
      <c r="D40" s="1" t="s">
        <v>166</v>
      </c>
      <c r="E40" s="1" t="s">
        <v>36</v>
      </c>
      <c r="F40" s="1" t="n">
        <v>174</v>
      </c>
      <c r="G40" s="1" t="n">
        <v>1657</v>
      </c>
      <c r="H40" s="7" t="n">
        <f aca="false">F40/G40</f>
        <v>0.105009052504526</v>
      </c>
      <c r="I40" s="1" t="n">
        <v>164</v>
      </c>
      <c r="J40" s="1" t="n">
        <v>264</v>
      </c>
      <c r="K40" s="7" t="n">
        <f aca="false">IF(J40&gt;0,I40/J40,"")</f>
        <v>0.621212121212121</v>
      </c>
    </row>
    <row r="41" customFormat="false" ht="15" hidden="false" customHeight="true" outlineLevel="0" collapsed="false">
      <c r="A41" s="1" t="s">
        <v>23</v>
      </c>
      <c r="B41" s="1" t="s">
        <v>205</v>
      </c>
      <c r="C41" s="1" t="s">
        <v>148</v>
      </c>
      <c r="D41" s="1" t="s">
        <v>166</v>
      </c>
      <c r="E41" s="1" t="s">
        <v>44</v>
      </c>
      <c r="F41" s="1" t="n">
        <v>243</v>
      </c>
      <c r="G41" s="1" t="n">
        <v>1657</v>
      </c>
      <c r="H41" s="7" t="n">
        <f aca="false">F41/G41</f>
        <v>0.146650573325287</v>
      </c>
      <c r="I41" s="1" t="n">
        <v>233</v>
      </c>
      <c r="J41" s="1" t="n">
        <v>264</v>
      </c>
      <c r="K41" s="7" t="n">
        <f aca="false">IF(J41&gt;0,I41/J41,"")</f>
        <v>0.882575757575758</v>
      </c>
    </row>
    <row r="42" customFormat="false" ht="15" hidden="false" customHeight="true" outlineLevel="0" collapsed="false">
      <c r="A42" s="1" t="s">
        <v>23</v>
      </c>
      <c r="B42" s="1" t="s">
        <v>206</v>
      </c>
      <c r="C42" s="1" t="s">
        <v>148</v>
      </c>
      <c r="D42" s="1" t="s">
        <v>166</v>
      </c>
      <c r="E42" s="1" t="s">
        <v>26</v>
      </c>
      <c r="F42" s="1" t="n">
        <v>139</v>
      </c>
      <c r="G42" s="1" t="n">
        <v>1657</v>
      </c>
      <c r="H42" s="7" t="n">
        <f aca="false">F42/G42</f>
        <v>0.083886541943271</v>
      </c>
      <c r="I42" s="1" t="n">
        <v>130</v>
      </c>
      <c r="J42" s="1" t="n">
        <v>214</v>
      </c>
      <c r="K42" s="7" t="n">
        <f aca="false">IF(J42&gt;0,I42/J42,"")</f>
        <v>0.607476635514019</v>
      </c>
    </row>
    <row r="43" customFormat="false" ht="15" hidden="false" customHeight="true" outlineLevel="0" collapsed="false">
      <c r="A43" s="1" t="s">
        <v>23</v>
      </c>
      <c r="B43" s="1" t="s">
        <v>168</v>
      </c>
      <c r="C43" s="1" t="s">
        <v>148</v>
      </c>
      <c r="D43" s="1" t="s">
        <v>166</v>
      </c>
      <c r="E43" s="1" t="s">
        <v>36</v>
      </c>
      <c r="F43" s="1" t="n">
        <v>115</v>
      </c>
      <c r="G43" s="1" t="n">
        <v>1657</v>
      </c>
      <c r="H43" s="7" t="n">
        <f aca="false">F43/G43</f>
        <v>0.0694025347012674</v>
      </c>
      <c r="I43" s="1" t="n">
        <v>106</v>
      </c>
      <c r="J43" s="1" t="n">
        <v>214</v>
      </c>
      <c r="K43" s="7" t="n">
        <f aca="false">IF(J43&gt;0,I43/J43,"")</f>
        <v>0.495327102803738</v>
      </c>
    </row>
    <row r="44" customFormat="false" ht="15" hidden="false" customHeight="true" outlineLevel="0" collapsed="false">
      <c r="A44" s="1" t="s">
        <v>23</v>
      </c>
      <c r="B44" s="1" t="s">
        <v>169</v>
      </c>
      <c r="C44" s="1" t="s">
        <v>148</v>
      </c>
      <c r="D44" s="1" t="s">
        <v>166</v>
      </c>
      <c r="E44" s="1" t="s">
        <v>44</v>
      </c>
      <c r="F44" s="1" t="n">
        <v>115</v>
      </c>
      <c r="G44" s="1" t="n">
        <v>1657</v>
      </c>
      <c r="H44" s="7" t="n">
        <f aca="false">F44/G44</f>
        <v>0.0694025347012674</v>
      </c>
      <c r="I44" s="1" t="n">
        <v>106</v>
      </c>
      <c r="J44" s="1" t="n">
        <v>214</v>
      </c>
      <c r="K44" s="7" t="n">
        <f aca="false">IF(J44&gt;0,I44/J44,"")</f>
        <v>0.495327102803738</v>
      </c>
    </row>
    <row r="45" customFormat="false" ht="15" hidden="false" customHeight="true" outlineLevel="0" collapsed="false">
      <c r="A45" s="1" t="s">
        <v>23</v>
      </c>
      <c r="B45" s="1" t="s">
        <v>170</v>
      </c>
      <c r="C45" s="1" t="s">
        <v>148</v>
      </c>
      <c r="D45" s="1" t="s">
        <v>166</v>
      </c>
      <c r="E45" s="1" t="s">
        <v>26</v>
      </c>
      <c r="F45" s="1" t="n">
        <v>104</v>
      </c>
      <c r="G45" s="1" t="n">
        <v>1657</v>
      </c>
      <c r="H45" s="7" t="n">
        <f aca="false">F45/G45</f>
        <v>0.0627640313820157</v>
      </c>
      <c r="I45" s="1" t="n">
        <v>94</v>
      </c>
      <c r="J45" s="1" t="n">
        <v>107</v>
      </c>
      <c r="K45" s="7" t="n">
        <f aca="false">IF(J45&gt;0,I45/J45,"")</f>
        <v>0.878504672897196</v>
      </c>
    </row>
    <row r="46" customFormat="false" ht="15" hidden="false" customHeight="true" outlineLevel="0" collapsed="false">
      <c r="A46" s="1" t="s">
        <v>23</v>
      </c>
      <c r="B46" s="1" t="s">
        <v>171</v>
      </c>
      <c r="C46" s="1" t="s">
        <v>148</v>
      </c>
      <c r="D46" s="1" t="s">
        <v>166</v>
      </c>
      <c r="E46" s="1" t="s">
        <v>36</v>
      </c>
      <c r="F46" s="1" t="n">
        <v>102</v>
      </c>
      <c r="G46" s="1" t="n">
        <v>1657</v>
      </c>
      <c r="H46" s="7" t="n">
        <f aca="false">F46/G46</f>
        <v>0.0615570307785154</v>
      </c>
      <c r="I46" s="1" t="n">
        <v>92</v>
      </c>
      <c r="J46" s="1" t="n">
        <v>107</v>
      </c>
      <c r="K46" s="7" t="n">
        <f aca="false">IF(J46&gt;0,I46/J46,"")</f>
        <v>0.85981308411215</v>
      </c>
    </row>
    <row r="47" customFormat="false" ht="15" hidden="false" customHeight="true" outlineLevel="0" collapsed="false">
      <c r="A47" s="1" t="s">
        <v>23</v>
      </c>
      <c r="B47" s="1" t="s">
        <v>172</v>
      </c>
      <c r="C47" s="1" t="s">
        <v>148</v>
      </c>
      <c r="D47" s="1" t="s">
        <v>166</v>
      </c>
      <c r="E47" s="1" t="s">
        <v>44</v>
      </c>
      <c r="F47" s="1" t="n">
        <v>102</v>
      </c>
      <c r="G47" s="1" t="n">
        <v>1657</v>
      </c>
      <c r="H47" s="7" t="n">
        <f aca="false">F47/G47</f>
        <v>0.0615570307785154</v>
      </c>
      <c r="I47" s="1" t="n">
        <v>92</v>
      </c>
      <c r="J47" s="1" t="n">
        <v>107</v>
      </c>
      <c r="K47" s="7" t="n">
        <f aca="false">IF(J47&gt;0,I47/J47,"")</f>
        <v>0.85981308411215</v>
      </c>
    </row>
    <row r="48" customFormat="false" ht="15" hidden="false" customHeight="true" outlineLevel="0" collapsed="false">
      <c r="A48" s="1" t="s">
        <v>23</v>
      </c>
      <c r="B48" s="1" t="s">
        <v>173</v>
      </c>
      <c r="C48" s="1" t="s">
        <v>148</v>
      </c>
      <c r="D48" s="1" t="s">
        <v>174</v>
      </c>
      <c r="E48" s="1" t="s">
        <v>26</v>
      </c>
      <c r="F48" s="1" t="n">
        <v>3</v>
      </c>
      <c r="G48" s="1" t="n">
        <v>46</v>
      </c>
      <c r="H48" s="7" t="n">
        <f aca="false">F48/G48</f>
        <v>0.0652173913043478</v>
      </c>
      <c r="I48" s="1" t="n">
        <v>3</v>
      </c>
      <c r="J48" s="1" t="n">
        <v>46</v>
      </c>
      <c r="K48" s="7" t="n">
        <f aca="false">IF(J48&gt;0,I48/J48,"")</f>
        <v>0.0652173913043478</v>
      </c>
    </row>
    <row r="49" customFormat="false" ht="15" hidden="false" customHeight="true" outlineLevel="0" collapsed="false">
      <c r="A49" s="1" t="s">
        <v>23</v>
      </c>
      <c r="B49" s="1" t="s">
        <v>175</v>
      </c>
      <c r="C49" s="1" t="s">
        <v>148</v>
      </c>
      <c r="D49" s="1" t="s">
        <v>174</v>
      </c>
      <c r="E49" s="1" t="s">
        <v>36</v>
      </c>
      <c r="F49" s="1" t="n">
        <v>3</v>
      </c>
      <c r="G49" s="1" t="n">
        <v>46</v>
      </c>
      <c r="H49" s="7" t="n">
        <f aca="false">F49/G49</f>
        <v>0.0652173913043478</v>
      </c>
      <c r="I49" s="1" t="n">
        <v>3</v>
      </c>
      <c r="J49" s="1" t="n">
        <v>46</v>
      </c>
      <c r="K49" s="7" t="n">
        <f aca="false">IF(J49&gt;0,I49/J49,"")</f>
        <v>0.0652173913043478</v>
      </c>
    </row>
    <row r="50" customFormat="false" ht="15" hidden="false" customHeight="true" outlineLevel="0" collapsed="false">
      <c r="A50" s="1" t="s">
        <v>23</v>
      </c>
      <c r="B50" s="1" t="s">
        <v>176</v>
      </c>
      <c r="C50" s="1" t="s">
        <v>148</v>
      </c>
      <c r="D50" s="1" t="s">
        <v>174</v>
      </c>
      <c r="E50" s="1" t="s">
        <v>44</v>
      </c>
      <c r="F50" s="1" t="n">
        <v>3</v>
      </c>
      <c r="G50" s="1" t="n">
        <v>46</v>
      </c>
      <c r="H50" s="7" t="n">
        <f aca="false">F50/G50</f>
        <v>0.0652173913043478</v>
      </c>
      <c r="I50" s="1" t="n">
        <v>3</v>
      </c>
      <c r="J50" s="1" t="n">
        <v>46</v>
      </c>
      <c r="K50" s="7" t="n">
        <f aca="false">IF(J50&gt;0,I50/J50,"")</f>
        <v>0.0652173913043478</v>
      </c>
    </row>
    <row r="51" customFormat="false" ht="15" hidden="false" customHeight="true" outlineLevel="0" collapsed="false">
      <c r="A51" s="1" t="s">
        <v>23</v>
      </c>
      <c r="B51" s="1" t="s">
        <v>177</v>
      </c>
      <c r="C51" s="1" t="s">
        <v>148</v>
      </c>
      <c r="D51" s="1" t="s">
        <v>174</v>
      </c>
      <c r="E51" s="1" t="s">
        <v>26</v>
      </c>
      <c r="F51" s="1" t="n">
        <v>13</v>
      </c>
      <c r="G51" s="1" t="n">
        <v>46</v>
      </c>
      <c r="H51" s="7" t="n">
        <f aca="false">F51/G51</f>
        <v>0.282608695652174</v>
      </c>
      <c r="I51" s="1" t="n">
        <v>13</v>
      </c>
      <c r="J51" s="1" t="n">
        <v>46</v>
      </c>
      <c r="K51" s="7" t="n">
        <f aca="false">IF(J51&gt;0,I51/J51,"")</f>
        <v>0.282608695652174</v>
      </c>
    </row>
    <row r="52" customFormat="false" ht="15" hidden="false" customHeight="true" outlineLevel="0" collapsed="false">
      <c r="A52" s="1" t="s">
        <v>23</v>
      </c>
      <c r="B52" s="1" t="s">
        <v>178</v>
      </c>
      <c r="C52" s="1" t="s">
        <v>148</v>
      </c>
      <c r="D52" s="1" t="s">
        <v>174</v>
      </c>
      <c r="E52" s="1" t="s">
        <v>36</v>
      </c>
      <c r="F52" s="1" t="n">
        <v>13</v>
      </c>
      <c r="G52" s="1" t="n">
        <v>46</v>
      </c>
      <c r="H52" s="7" t="n">
        <f aca="false">F52/G52</f>
        <v>0.282608695652174</v>
      </c>
      <c r="I52" s="1" t="n">
        <v>13</v>
      </c>
      <c r="J52" s="1" t="n">
        <v>46</v>
      </c>
      <c r="K52" s="7" t="n">
        <f aca="false">IF(J52&gt;0,I52/J52,"")</f>
        <v>0.282608695652174</v>
      </c>
    </row>
    <row r="53" customFormat="false" ht="15" hidden="false" customHeight="true" outlineLevel="0" collapsed="false">
      <c r="A53" s="1" t="s">
        <v>23</v>
      </c>
      <c r="B53" s="1" t="s">
        <v>179</v>
      </c>
      <c r="C53" s="1" t="s">
        <v>148</v>
      </c>
      <c r="D53" s="1" t="s">
        <v>174</v>
      </c>
      <c r="E53" s="1" t="s">
        <v>44</v>
      </c>
      <c r="F53" s="1" t="n">
        <v>13</v>
      </c>
      <c r="G53" s="1" t="n">
        <v>46</v>
      </c>
      <c r="H53" s="7" t="n">
        <f aca="false">F53/G53</f>
        <v>0.282608695652174</v>
      </c>
      <c r="I53" s="1" t="n">
        <v>13</v>
      </c>
      <c r="J53" s="1" t="n">
        <v>46</v>
      </c>
      <c r="K53" s="7" t="n">
        <f aca="false">IF(J53&gt;0,I53/J53,"")</f>
        <v>0.282608695652174</v>
      </c>
    </row>
    <row r="54" customFormat="false" ht="15" hidden="false" customHeight="true" outlineLevel="0" collapsed="false">
      <c r="A54" s="1" t="s">
        <v>23</v>
      </c>
      <c r="B54" s="1" t="s">
        <v>180</v>
      </c>
      <c r="C54" s="1" t="s">
        <v>148</v>
      </c>
      <c r="D54" s="1" t="s">
        <v>174</v>
      </c>
      <c r="E54" s="1" t="s">
        <v>26</v>
      </c>
      <c r="F54" s="1" t="n">
        <v>4</v>
      </c>
      <c r="G54" s="1" t="n">
        <v>46</v>
      </c>
      <c r="H54" s="7" t="n">
        <f aca="false">F54/G54</f>
        <v>0.0869565217391304</v>
      </c>
      <c r="I54" s="1" t="n">
        <v>4</v>
      </c>
      <c r="J54" s="1" t="n">
        <v>46</v>
      </c>
      <c r="K54" s="7" t="n">
        <f aca="false">IF(J54&gt;0,I54/J54,"")</f>
        <v>0.0869565217391304</v>
      </c>
    </row>
    <row r="55" customFormat="false" ht="15" hidden="false" customHeight="true" outlineLevel="0" collapsed="false">
      <c r="A55" s="1" t="s">
        <v>23</v>
      </c>
      <c r="B55" s="1" t="s">
        <v>181</v>
      </c>
      <c r="C55" s="1" t="s">
        <v>148</v>
      </c>
      <c r="D55" s="1" t="s">
        <v>174</v>
      </c>
      <c r="E55" s="1" t="s">
        <v>26</v>
      </c>
      <c r="F55" s="1" t="n">
        <v>3</v>
      </c>
      <c r="G55" s="1" t="n">
        <v>46</v>
      </c>
      <c r="H55" s="7" t="n">
        <f aca="false">F55/G55</f>
        <v>0.0652173913043478</v>
      </c>
      <c r="I55" s="1" t="n">
        <v>3</v>
      </c>
      <c r="J55" s="1" t="n">
        <v>46</v>
      </c>
      <c r="K55" s="7" t="n">
        <f aca="false">IF(J55&gt;0,I55/J55,"")</f>
        <v>0.0652173913043478</v>
      </c>
    </row>
    <row r="56" customFormat="false" ht="15" hidden="false" customHeight="true" outlineLevel="0" collapsed="false">
      <c r="A56" s="1" t="s">
        <v>23</v>
      </c>
      <c r="B56" s="1" t="s">
        <v>182</v>
      </c>
      <c r="C56" s="1" t="s">
        <v>148</v>
      </c>
      <c r="D56" s="1" t="s">
        <v>174</v>
      </c>
      <c r="E56" s="1" t="s">
        <v>36</v>
      </c>
      <c r="F56" s="1" t="n">
        <v>3</v>
      </c>
      <c r="G56" s="1" t="n">
        <v>46</v>
      </c>
      <c r="H56" s="7" t="n">
        <f aca="false">F56/G56</f>
        <v>0.0652173913043478</v>
      </c>
      <c r="I56" s="1" t="n">
        <v>3</v>
      </c>
      <c r="J56" s="1" t="n">
        <v>46</v>
      </c>
      <c r="K56" s="7" t="n">
        <f aca="false">IF(J56&gt;0,I56/J56,"")</f>
        <v>0.0652173913043478</v>
      </c>
    </row>
    <row r="57" customFormat="false" ht="15" hidden="false" customHeight="true" outlineLevel="0" collapsed="false">
      <c r="A57" s="1" t="s">
        <v>23</v>
      </c>
      <c r="B57" s="1" t="s">
        <v>183</v>
      </c>
      <c r="C57" s="1" t="s">
        <v>148</v>
      </c>
      <c r="D57" s="1" t="s">
        <v>174</v>
      </c>
      <c r="E57" s="1" t="s">
        <v>44</v>
      </c>
      <c r="F57" s="1" t="n">
        <v>3</v>
      </c>
      <c r="G57" s="1" t="n">
        <v>46</v>
      </c>
      <c r="H57" s="7" t="n">
        <f aca="false">F57/G57</f>
        <v>0.0652173913043478</v>
      </c>
      <c r="I57" s="1" t="n">
        <v>3</v>
      </c>
      <c r="J57" s="1" t="n">
        <v>46</v>
      </c>
      <c r="K57" s="7" t="n">
        <f aca="false">IF(J57&gt;0,I57/J57,"")</f>
        <v>0.0652173913043478</v>
      </c>
    </row>
    <row r="58" customFormat="false" ht="15" hidden="false" customHeight="true" outlineLevel="0" collapsed="false">
      <c r="A58" s="1" t="s">
        <v>23</v>
      </c>
      <c r="B58" s="1" t="s">
        <v>184</v>
      </c>
      <c r="C58" s="1" t="s">
        <v>148</v>
      </c>
      <c r="D58" s="1" t="s">
        <v>174</v>
      </c>
      <c r="E58" s="1" t="s">
        <v>36</v>
      </c>
      <c r="F58" s="1" t="n">
        <v>4</v>
      </c>
      <c r="G58" s="1" t="n">
        <v>46</v>
      </c>
      <c r="H58" s="7" t="n">
        <f aca="false">F58/G58</f>
        <v>0.0869565217391304</v>
      </c>
      <c r="I58" s="1" t="n">
        <v>4</v>
      </c>
      <c r="J58" s="1" t="n">
        <v>46</v>
      </c>
      <c r="K58" s="7" t="n">
        <f aca="false">IF(J58&gt;0,I58/J58,"")</f>
        <v>0.0869565217391304</v>
      </c>
    </row>
    <row r="59" customFormat="false" ht="15" hidden="false" customHeight="true" outlineLevel="0" collapsed="false">
      <c r="A59" s="1" t="s">
        <v>23</v>
      </c>
      <c r="B59" s="1" t="s">
        <v>185</v>
      </c>
      <c r="C59" s="1" t="s">
        <v>148</v>
      </c>
      <c r="D59" s="1" t="s">
        <v>174</v>
      </c>
      <c r="E59" s="1" t="s">
        <v>26</v>
      </c>
      <c r="F59" s="1" t="n">
        <v>3</v>
      </c>
      <c r="G59" s="1" t="n">
        <v>46</v>
      </c>
      <c r="H59" s="7" t="n">
        <f aca="false">F59/G59</f>
        <v>0.0652173913043478</v>
      </c>
      <c r="I59" s="1" t="n">
        <v>3</v>
      </c>
      <c r="J59" s="1" t="n">
        <v>46</v>
      </c>
      <c r="K59" s="7" t="n">
        <f aca="false">IF(J59&gt;0,I59/J59,"")</f>
        <v>0.0652173913043478</v>
      </c>
    </row>
    <row r="60" customFormat="false" ht="15" hidden="false" customHeight="true" outlineLevel="0" collapsed="false">
      <c r="A60" s="1" t="s">
        <v>23</v>
      </c>
      <c r="B60" s="1" t="s">
        <v>186</v>
      </c>
      <c r="C60" s="1" t="s">
        <v>148</v>
      </c>
      <c r="D60" s="1" t="s">
        <v>174</v>
      </c>
      <c r="E60" s="1" t="s">
        <v>36</v>
      </c>
      <c r="F60" s="1" t="n">
        <v>3</v>
      </c>
      <c r="G60" s="1" t="n">
        <v>46</v>
      </c>
      <c r="H60" s="7" t="n">
        <f aca="false">F60/G60</f>
        <v>0.0652173913043478</v>
      </c>
      <c r="I60" s="1" t="n">
        <v>3</v>
      </c>
      <c r="J60" s="1" t="n">
        <v>46</v>
      </c>
      <c r="K60" s="7" t="n">
        <f aca="false">IF(J60&gt;0,I60/J60,"")</f>
        <v>0.0652173913043478</v>
      </c>
    </row>
    <row r="61" customFormat="false" ht="15" hidden="false" customHeight="true" outlineLevel="0" collapsed="false">
      <c r="A61" s="1" t="s">
        <v>23</v>
      </c>
      <c r="B61" s="1" t="s">
        <v>187</v>
      </c>
      <c r="C61" s="1" t="s">
        <v>148</v>
      </c>
      <c r="D61" s="1" t="s">
        <v>174</v>
      </c>
      <c r="E61" s="1" t="s">
        <v>44</v>
      </c>
      <c r="F61" s="1" t="n">
        <v>3</v>
      </c>
      <c r="G61" s="1" t="n">
        <v>46</v>
      </c>
      <c r="H61" s="7" t="n">
        <f aca="false">F61/G61</f>
        <v>0.0652173913043478</v>
      </c>
      <c r="I61" s="1" t="n">
        <v>3</v>
      </c>
      <c r="J61" s="1" t="n">
        <v>46</v>
      </c>
      <c r="K61" s="7" t="n">
        <f aca="false">IF(J61&gt;0,I61/J61,"")</f>
        <v>0.0652173913043478</v>
      </c>
    </row>
    <row r="62" customFormat="false" ht="15" hidden="false" customHeight="true" outlineLevel="0" collapsed="false">
      <c r="A62" s="1" t="s">
        <v>23</v>
      </c>
      <c r="B62" s="1" t="s">
        <v>188</v>
      </c>
      <c r="C62" s="1" t="s">
        <v>148</v>
      </c>
      <c r="D62" s="1" t="s">
        <v>174</v>
      </c>
      <c r="E62" s="1" t="s">
        <v>44</v>
      </c>
      <c r="F62" s="1" t="n">
        <v>4</v>
      </c>
      <c r="G62" s="1" t="n">
        <v>46</v>
      </c>
      <c r="H62" s="7" t="n">
        <f aca="false">F62/G62</f>
        <v>0.0869565217391304</v>
      </c>
      <c r="I62" s="1" t="n">
        <v>4</v>
      </c>
      <c r="J62" s="1" t="n">
        <v>46</v>
      </c>
      <c r="K62" s="7" t="n">
        <f aca="false">IF(J62&gt;0,I62/J62,"")</f>
        <v>0.0869565217391304</v>
      </c>
    </row>
    <row r="63" customFormat="false" ht="15" hidden="false" customHeight="true" outlineLevel="0" collapsed="false">
      <c r="A63" s="1" t="s">
        <v>23</v>
      </c>
      <c r="B63" s="1" t="s">
        <v>189</v>
      </c>
      <c r="C63" s="1" t="s">
        <v>148</v>
      </c>
      <c r="D63" s="1" t="s">
        <v>174</v>
      </c>
      <c r="E63" s="1" t="s">
        <v>26</v>
      </c>
      <c r="F63" s="1" t="n">
        <v>3</v>
      </c>
      <c r="G63" s="1" t="n">
        <v>46</v>
      </c>
      <c r="H63" s="7" t="n">
        <f aca="false">F63/G63</f>
        <v>0.0652173913043478</v>
      </c>
      <c r="I63" s="1" t="n">
        <v>3</v>
      </c>
      <c r="J63" s="1" t="n">
        <v>46</v>
      </c>
      <c r="K63" s="7" t="n">
        <f aca="false">IF(J63&gt;0,I63/J63,"")</f>
        <v>0.0652173913043478</v>
      </c>
    </row>
    <row r="64" customFormat="false" ht="15" hidden="false" customHeight="true" outlineLevel="0" collapsed="false">
      <c r="A64" s="1" t="s">
        <v>23</v>
      </c>
      <c r="B64" s="1" t="s">
        <v>190</v>
      </c>
      <c r="C64" s="1" t="s">
        <v>148</v>
      </c>
      <c r="D64" s="1" t="s">
        <v>174</v>
      </c>
      <c r="E64" s="1" t="s">
        <v>36</v>
      </c>
      <c r="F64" s="1" t="n">
        <v>3</v>
      </c>
      <c r="G64" s="1" t="n">
        <v>46</v>
      </c>
      <c r="H64" s="7" t="n">
        <f aca="false">F64/G64</f>
        <v>0.0652173913043478</v>
      </c>
      <c r="I64" s="1" t="n">
        <v>3</v>
      </c>
      <c r="J64" s="1" t="n">
        <v>46</v>
      </c>
      <c r="K64" s="7" t="n">
        <f aca="false">IF(J64&gt;0,I64/J64,"")</f>
        <v>0.0652173913043478</v>
      </c>
    </row>
    <row r="65" customFormat="false" ht="15" hidden="false" customHeight="true" outlineLevel="0" collapsed="false">
      <c r="A65" s="1" t="s">
        <v>23</v>
      </c>
      <c r="B65" s="1" t="s">
        <v>191</v>
      </c>
      <c r="C65" s="1" t="s">
        <v>148</v>
      </c>
      <c r="D65" s="1" t="s">
        <v>174</v>
      </c>
      <c r="E65" s="1" t="s">
        <v>44</v>
      </c>
      <c r="F65" s="1" t="n">
        <v>3</v>
      </c>
      <c r="G65" s="1" t="n">
        <v>46</v>
      </c>
      <c r="H65" s="7" t="n">
        <f aca="false">F65/G65</f>
        <v>0.0652173913043478</v>
      </c>
      <c r="I65" s="1" t="n">
        <v>3</v>
      </c>
      <c r="J65" s="1" t="n">
        <v>46</v>
      </c>
      <c r="K65" s="7" t="n">
        <f aca="false">IF(J65&gt;0,I65/J65,"")</f>
        <v>0.0652173913043478</v>
      </c>
    </row>
    <row r="66" customFormat="false" ht="15" hidden="false" customHeight="true" outlineLevel="0" collapsed="false">
      <c r="A66" s="1" t="s">
        <v>23</v>
      </c>
      <c r="B66" s="1" t="s">
        <v>192</v>
      </c>
      <c r="C66" s="1" t="s">
        <v>148</v>
      </c>
      <c r="D66" s="1" t="s">
        <v>174</v>
      </c>
      <c r="E66" s="1" t="s">
        <v>26</v>
      </c>
      <c r="F66" s="1" t="n">
        <v>3</v>
      </c>
      <c r="G66" s="1" t="n">
        <v>46</v>
      </c>
      <c r="H66" s="7" t="n">
        <f aca="false">F66/G66</f>
        <v>0.0652173913043478</v>
      </c>
      <c r="I66" s="1" t="n">
        <v>3</v>
      </c>
      <c r="J66" s="1" t="n">
        <v>46</v>
      </c>
      <c r="K66" s="7" t="n">
        <f aca="false">IF(J66&gt;0,I66/J66,"")</f>
        <v>0.0652173913043478</v>
      </c>
    </row>
    <row r="67" customFormat="false" ht="15" hidden="false" customHeight="true" outlineLevel="0" collapsed="false">
      <c r="A67" s="1" t="s">
        <v>23</v>
      </c>
      <c r="B67" s="1" t="s">
        <v>193</v>
      </c>
      <c r="C67" s="1" t="s">
        <v>148</v>
      </c>
      <c r="D67" s="1" t="s">
        <v>174</v>
      </c>
      <c r="E67" s="1" t="s">
        <v>36</v>
      </c>
      <c r="F67" s="1" t="n">
        <v>3</v>
      </c>
      <c r="G67" s="1" t="n">
        <v>46</v>
      </c>
      <c r="H67" s="7" t="n">
        <f aca="false">F67/G67</f>
        <v>0.0652173913043478</v>
      </c>
      <c r="I67" s="1" t="n">
        <v>3</v>
      </c>
      <c r="J67" s="1" t="n">
        <v>46</v>
      </c>
      <c r="K67" s="7" t="n">
        <f aca="false">IF(J67&gt;0,I67/J67,"")</f>
        <v>0.0652173913043478</v>
      </c>
    </row>
    <row r="68" customFormat="false" ht="15" hidden="false" customHeight="true" outlineLevel="0" collapsed="false">
      <c r="A68" s="1" t="s">
        <v>23</v>
      </c>
      <c r="B68" s="1" t="s">
        <v>194</v>
      </c>
      <c r="C68" s="1" t="s">
        <v>148</v>
      </c>
      <c r="D68" s="1" t="s">
        <v>174</v>
      </c>
      <c r="E68" s="1" t="s">
        <v>44</v>
      </c>
      <c r="F68" s="1" t="n">
        <v>3</v>
      </c>
      <c r="G68" s="1" t="n">
        <v>46</v>
      </c>
      <c r="H68" s="7" t="n">
        <f aca="false">F68/G68</f>
        <v>0.0652173913043478</v>
      </c>
      <c r="I68" s="1" t="n">
        <v>3</v>
      </c>
      <c r="J68" s="1" t="n">
        <v>46</v>
      </c>
      <c r="K68" s="7" t="n">
        <f aca="false">IF(J68&gt;0,I68/J68,"")</f>
        <v>0.0652173913043478</v>
      </c>
    </row>
    <row r="69" customFormat="false" ht="15" hidden="false" customHeight="true" outlineLevel="0" collapsed="false">
      <c r="A69" s="1" t="s">
        <v>23</v>
      </c>
      <c r="B69" s="1" t="s">
        <v>197</v>
      </c>
      <c r="C69" s="1" t="s">
        <v>148</v>
      </c>
      <c r="D69" s="1" t="s">
        <v>196</v>
      </c>
      <c r="E69" s="1" t="s">
        <v>36</v>
      </c>
      <c r="F69" s="1" t="n">
        <v>279</v>
      </c>
      <c r="G69" s="1" t="n">
        <v>1657</v>
      </c>
      <c r="H69" s="7" t="n">
        <f aca="false">F69/G69</f>
        <v>0.168376584188292</v>
      </c>
      <c r="I69" s="1" t="n">
        <v>229</v>
      </c>
      <c r="J69" s="1" t="n">
        <v>264</v>
      </c>
      <c r="K69" s="7" t="n">
        <f aca="false">IF(J69&gt;0,I69/J69,"")</f>
        <v>0.867424242424242</v>
      </c>
    </row>
    <row r="70" customFormat="false" ht="15" hidden="false" customHeight="true" outlineLevel="0" collapsed="false">
      <c r="A70" s="1" t="s">
        <v>23</v>
      </c>
      <c r="B70" s="1" t="s">
        <v>198</v>
      </c>
      <c r="C70" s="1" t="s">
        <v>148</v>
      </c>
      <c r="D70" s="1" t="s">
        <v>196</v>
      </c>
      <c r="E70" s="1" t="s">
        <v>44</v>
      </c>
      <c r="F70" s="1" t="n">
        <v>276</v>
      </c>
      <c r="G70" s="1" t="n">
        <v>1657</v>
      </c>
      <c r="H70" s="7" t="n">
        <f aca="false">F70/G70</f>
        <v>0.166566083283042</v>
      </c>
      <c r="I70" s="1" t="n">
        <v>226</v>
      </c>
      <c r="J70" s="1" t="n">
        <v>264</v>
      </c>
      <c r="K70" s="7" t="n">
        <f aca="false">IF(J70&gt;0,I70/J70,"")</f>
        <v>0.856060606060606</v>
      </c>
    </row>
    <row r="71" customFormat="false" ht="15" hidden="false" customHeight="true" outlineLevel="0" collapsed="false">
      <c r="A71" s="1" t="s">
        <v>23</v>
      </c>
      <c r="B71" s="1" t="s">
        <v>199</v>
      </c>
      <c r="C71" s="1" t="s">
        <v>148</v>
      </c>
      <c r="D71" s="1" t="s">
        <v>196</v>
      </c>
      <c r="E71" s="1" t="s">
        <v>26</v>
      </c>
      <c r="F71" s="1" t="n">
        <v>114</v>
      </c>
      <c r="G71" s="1" t="n">
        <v>1657</v>
      </c>
      <c r="H71" s="7" t="n">
        <f aca="false">F71/G71</f>
        <v>0.0687990343995172</v>
      </c>
      <c r="I71" s="1" t="n">
        <v>104</v>
      </c>
      <c r="J71" s="1" t="n">
        <v>107</v>
      </c>
      <c r="K71" s="7" t="n">
        <f aca="false">IF(J71&gt;0,I71/J71,"")</f>
        <v>0.97196261682243</v>
      </c>
    </row>
    <row r="72" customFormat="false" ht="15" hidden="false" customHeight="true" outlineLevel="0" collapsed="false">
      <c r="A72" s="1" t="s">
        <v>23</v>
      </c>
      <c r="B72" s="1" t="s">
        <v>200</v>
      </c>
      <c r="C72" s="1" t="s">
        <v>148</v>
      </c>
      <c r="D72" s="1" t="s">
        <v>196</v>
      </c>
      <c r="E72" s="1" t="s">
        <v>36</v>
      </c>
      <c r="F72" s="1" t="n">
        <v>112</v>
      </c>
      <c r="G72" s="1" t="n">
        <v>1657</v>
      </c>
      <c r="H72" s="7" t="n">
        <f aca="false">F72/G72</f>
        <v>0.0675920337960169</v>
      </c>
      <c r="I72" s="1" t="n">
        <v>102</v>
      </c>
      <c r="J72" s="1" t="n">
        <v>107</v>
      </c>
      <c r="K72" s="7" t="n">
        <f aca="false">IF(J72&gt;0,I72/J72,"")</f>
        <v>0.953271028037383</v>
      </c>
    </row>
    <row r="73" customFormat="false" ht="15" hidden="false" customHeight="true" outlineLevel="0" collapsed="false">
      <c r="A73" s="1" t="s">
        <v>23</v>
      </c>
      <c r="B73" s="1" t="s">
        <v>201</v>
      </c>
      <c r="C73" s="1" t="s">
        <v>148</v>
      </c>
      <c r="D73" s="1" t="s">
        <v>196</v>
      </c>
      <c r="E73" s="1" t="s">
        <v>44</v>
      </c>
      <c r="F73" s="1" t="n">
        <v>112</v>
      </c>
      <c r="G73" s="1" t="n">
        <v>1657</v>
      </c>
      <c r="H73" s="7" t="n">
        <f aca="false">F73/G73</f>
        <v>0.0675920337960169</v>
      </c>
      <c r="I73" s="1" t="n">
        <v>102</v>
      </c>
      <c r="J73" s="1" t="n">
        <v>107</v>
      </c>
      <c r="K73" s="7" t="n">
        <f aca="false">IF(J73&gt;0,I73/J73,"")</f>
        <v>0.953271028037383</v>
      </c>
    </row>
    <row r="74" customFormat="false" ht="15" hidden="false" customHeight="true" outlineLevel="0" collapsed="false">
      <c r="A74" s="1" t="s">
        <v>23</v>
      </c>
      <c r="B74" s="1" t="s">
        <v>202</v>
      </c>
      <c r="C74" s="1" t="s">
        <v>148</v>
      </c>
      <c r="D74" s="1" t="s">
        <v>196</v>
      </c>
      <c r="E74" s="1" t="s">
        <v>26</v>
      </c>
      <c r="F74" s="1" t="n">
        <v>247</v>
      </c>
      <c r="G74" s="1" t="n">
        <v>1657</v>
      </c>
      <c r="H74" s="7" t="n">
        <f aca="false">F74/G74</f>
        <v>0.149064574532287</v>
      </c>
      <c r="I74" s="1" t="n">
        <v>114</v>
      </c>
      <c r="J74" s="1" t="n">
        <v>214</v>
      </c>
      <c r="K74" s="7" t="n">
        <f aca="false">IF(J74&gt;0,I74/J74,"")</f>
        <v>0.532710280373832</v>
      </c>
    </row>
    <row r="75" customFormat="false" ht="15" hidden="false" customHeight="true" outlineLevel="0" collapsed="false">
      <c r="A75" s="1" t="s">
        <v>23</v>
      </c>
      <c r="B75" s="1" t="s">
        <v>203</v>
      </c>
      <c r="C75" s="1" t="s">
        <v>148</v>
      </c>
      <c r="D75" s="1" t="s">
        <v>196</v>
      </c>
      <c r="E75" s="1" t="s">
        <v>36</v>
      </c>
      <c r="F75" s="1" t="n">
        <v>191</v>
      </c>
      <c r="G75" s="1" t="n">
        <v>1657</v>
      </c>
      <c r="H75" s="7" t="n">
        <f aca="false">F75/G75</f>
        <v>0.115268557634279</v>
      </c>
      <c r="I75" s="1" t="n">
        <v>58</v>
      </c>
      <c r="J75" s="1" t="n">
        <v>214</v>
      </c>
      <c r="K75" s="7" t="n">
        <f aca="false">IF(J75&gt;0,I75/J75,"")</f>
        <v>0.271028037383178</v>
      </c>
    </row>
    <row r="76" customFormat="false" ht="15" hidden="false" customHeight="true" outlineLevel="0" collapsed="false">
      <c r="A76" s="1" t="s">
        <v>23</v>
      </c>
      <c r="B76" s="1" t="s">
        <v>204</v>
      </c>
      <c r="C76" s="1" t="s">
        <v>148</v>
      </c>
      <c r="D76" s="1" t="s">
        <v>196</v>
      </c>
      <c r="E76" s="1" t="s">
        <v>44</v>
      </c>
      <c r="F76" s="1" t="n">
        <v>246</v>
      </c>
      <c r="G76" s="1" t="n">
        <v>1657</v>
      </c>
      <c r="H76" s="7" t="n">
        <f aca="false">F76/G76</f>
        <v>0.148461074230537</v>
      </c>
      <c r="I76" s="1" t="n">
        <v>113</v>
      </c>
      <c r="J76" s="1" t="n">
        <v>214</v>
      </c>
      <c r="K76" s="7" t="n">
        <f aca="false">IF(J76&gt;0,I76/J76,"")</f>
        <v>0.52803738317757</v>
      </c>
    </row>
    <row r="77" customFormat="false" ht="15" hidden="false" customHeight="true" outlineLevel="0" collapsed="false">
      <c r="A77" s="1" t="s">
        <v>114</v>
      </c>
      <c r="B77" s="1" t="s">
        <v>117</v>
      </c>
      <c r="C77" s="1" t="s">
        <v>148</v>
      </c>
      <c r="D77" s="1" t="s">
        <v>207</v>
      </c>
      <c r="E77" s="1" t="s">
        <v>26</v>
      </c>
      <c r="F77" s="1" t="n">
        <v>391</v>
      </c>
      <c r="G77" s="1" t="n">
        <v>1657</v>
      </c>
      <c r="H77" s="7" t="n">
        <f aca="false">F77/G77</f>
        <v>0.235968617984309</v>
      </c>
      <c r="I77" s="1" t="n">
        <v>250</v>
      </c>
      <c r="J77" s="1" t="n">
        <v>264</v>
      </c>
      <c r="K77" s="7" t="n">
        <f aca="false">IF(J77&gt;0,I77/J77,"")</f>
        <v>0.946969696969697</v>
      </c>
    </row>
    <row r="78" customFormat="false" ht="15" hidden="false" customHeight="true" outlineLevel="0" collapsed="false">
      <c r="A78" s="1" t="s">
        <v>114</v>
      </c>
      <c r="B78" s="1" t="s">
        <v>120</v>
      </c>
      <c r="C78" s="1" t="s">
        <v>148</v>
      </c>
      <c r="D78" s="1" t="s">
        <v>207</v>
      </c>
      <c r="E78" s="1" t="s">
        <v>36</v>
      </c>
      <c r="F78" s="1" t="n">
        <v>278</v>
      </c>
      <c r="G78" s="1" t="n">
        <v>1657</v>
      </c>
      <c r="H78" s="7" t="n">
        <f aca="false">F78/G78</f>
        <v>0.167773083886542</v>
      </c>
      <c r="I78" s="1" t="n">
        <v>227</v>
      </c>
      <c r="J78" s="1" t="n">
        <v>264</v>
      </c>
      <c r="K78" s="7" t="n">
        <f aca="false">IF(J78&gt;0,I78/J78,"")</f>
        <v>0.859848484848485</v>
      </c>
    </row>
    <row r="79" customFormat="false" ht="15" hidden="false" customHeight="true" outlineLevel="0" collapsed="false">
      <c r="A79" s="1" t="s">
        <v>114</v>
      </c>
      <c r="B79" s="1" t="s">
        <v>123</v>
      </c>
      <c r="C79" s="1" t="s">
        <v>148</v>
      </c>
      <c r="D79" s="1" t="s">
        <v>207</v>
      </c>
      <c r="E79" s="1" t="s">
        <v>44</v>
      </c>
      <c r="F79" s="1" t="n">
        <v>231</v>
      </c>
      <c r="G79" s="1" t="n">
        <v>1657</v>
      </c>
      <c r="H79" s="7" t="n">
        <f aca="false">F79/G79</f>
        <v>0.139408569704285</v>
      </c>
      <c r="I79" s="1" t="n">
        <v>180</v>
      </c>
      <c r="J79" s="1" t="n">
        <v>264</v>
      </c>
      <c r="K79" s="7" t="n">
        <f aca="false">IF(J79&gt;0,I79/J79,"")</f>
        <v>0.681818181818182</v>
      </c>
    </row>
    <row r="80" customFormat="false" ht="15" hidden="false" customHeight="true" outlineLevel="0" collapsed="false">
      <c r="A80" s="1" t="s">
        <v>114</v>
      </c>
      <c r="B80" s="1" t="s">
        <v>116</v>
      </c>
      <c r="C80" s="1" t="s">
        <v>148</v>
      </c>
      <c r="D80" s="1" t="s">
        <v>207</v>
      </c>
      <c r="E80" s="1" t="s">
        <v>26</v>
      </c>
      <c r="F80" s="1" t="n">
        <v>112</v>
      </c>
      <c r="G80" s="1" t="n">
        <v>1657</v>
      </c>
      <c r="H80" s="7" t="n">
        <f aca="false">F80/G80</f>
        <v>0.0675920337960169</v>
      </c>
      <c r="I80" s="1" t="n">
        <v>62</v>
      </c>
      <c r="J80" s="1" t="n">
        <v>214</v>
      </c>
      <c r="K80" s="7" t="n">
        <f aca="false">IF(J80&gt;0,I80/J80,"")</f>
        <v>0.289719626168224</v>
      </c>
    </row>
    <row r="81" customFormat="false" ht="15" hidden="false" customHeight="true" outlineLevel="0" collapsed="false">
      <c r="A81" s="1" t="s">
        <v>114</v>
      </c>
      <c r="B81" s="1" t="s">
        <v>119</v>
      </c>
      <c r="C81" s="1" t="s">
        <v>148</v>
      </c>
      <c r="D81" s="1" t="s">
        <v>207</v>
      </c>
      <c r="E81" s="1" t="s">
        <v>36</v>
      </c>
      <c r="F81" s="1" t="n">
        <v>168</v>
      </c>
      <c r="G81" s="1" t="n">
        <v>1657</v>
      </c>
      <c r="H81" s="7" t="n">
        <f aca="false">F81/G81</f>
        <v>0.101388050694025</v>
      </c>
      <c r="I81" s="1" t="n">
        <v>118</v>
      </c>
      <c r="J81" s="1" t="n">
        <v>214</v>
      </c>
      <c r="K81" s="7" t="n">
        <f aca="false">IF(J81&gt;0,I81/J81,"")</f>
        <v>0.551401869158879</v>
      </c>
    </row>
    <row r="82" customFormat="false" ht="15" hidden="false" customHeight="true" outlineLevel="0" collapsed="false">
      <c r="A82" s="1" t="s">
        <v>114</v>
      </c>
      <c r="B82" s="1" t="s">
        <v>122</v>
      </c>
      <c r="C82" s="1" t="s">
        <v>148</v>
      </c>
      <c r="D82" s="1" t="s">
        <v>207</v>
      </c>
      <c r="E82" s="1" t="s">
        <v>44</v>
      </c>
      <c r="F82" s="1" t="n">
        <v>160</v>
      </c>
      <c r="G82" s="1" t="n">
        <v>1657</v>
      </c>
      <c r="H82" s="7" t="n">
        <f aca="false">F82/G82</f>
        <v>0.0965600482800241</v>
      </c>
      <c r="I82" s="1" t="n">
        <v>110</v>
      </c>
      <c r="J82" s="1" t="n">
        <v>214</v>
      </c>
      <c r="K82" s="7" t="n">
        <f aca="false">IF(J82&gt;0,I82/J82,"")</f>
        <v>0.514018691588785</v>
      </c>
    </row>
    <row r="83" customFormat="false" ht="15" hidden="false" customHeight="true" outlineLevel="0" collapsed="false">
      <c r="A83" s="1" t="s">
        <v>114</v>
      </c>
      <c r="B83" s="1" t="s">
        <v>118</v>
      </c>
      <c r="C83" s="1" t="s">
        <v>148</v>
      </c>
      <c r="D83" s="1" t="s">
        <v>207</v>
      </c>
      <c r="E83" s="1" t="s">
        <v>26</v>
      </c>
      <c r="F83" s="1" t="n">
        <v>380</v>
      </c>
      <c r="G83" s="1" t="n">
        <v>1657</v>
      </c>
      <c r="H83" s="7" t="n">
        <f aca="false">F83/G83</f>
        <v>0.229330114665057</v>
      </c>
      <c r="I83" s="1" t="n">
        <v>70</v>
      </c>
      <c r="J83" s="1" t="n">
        <v>107</v>
      </c>
      <c r="K83" s="7" t="n">
        <f aca="false">IF(J83&gt;0,I83/J83,"")</f>
        <v>0.654205607476636</v>
      </c>
    </row>
    <row r="84" customFormat="false" ht="15" hidden="false" customHeight="true" outlineLevel="0" collapsed="false">
      <c r="A84" s="1" t="s">
        <v>114</v>
      </c>
      <c r="B84" s="1" t="s">
        <v>121</v>
      </c>
      <c r="C84" s="1" t="s">
        <v>148</v>
      </c>
      <c r="D84" s="1" t="s">
        <v>207</v>
      </c>
      <c r="E84" s="1" t="s">
        <v>36</v>
      </c>
      <c r="F84" s="1" t="n">
        <v>106</v>
      </c>
      <c r="G84" s="1" t="n">
        <v>1657</v>
      </c>
      <c r="H84" s="7" t="n">
        <f aca="false">F84/G84</f>
        <v>0.063971031985516</v>
      </c>
      <c r="I84" s="1" t="n">
        <v>0</v>
      </c>
      <c r="J84" s="1" t="n">
        <v>107</v>
      </c>
      <c r="K84" s="7" t="n">
        <f aca="false">IF(J84&gt;0,I84/J84,"")</f>
        <v>0</v>
      </c>
    </row>
    <row r="85" customFormat="false" ht="15" hidden="false" customHeight="true" outlineLevel="0" collapsed="false">
      <c r="A85" s="1" t="s">
        <v>114</v>
      </c>
      <c r="B85" s="1" t="s">
        <v>124</v>
      </c>
      <c r="C85" s="1" t="s">
        <v>148</v>
      </c>
      <c r="D85" s="1" t="s">
        <v>207</v>
      </c>
      <c r="E85" s="1" t="s">
        <v>44</v>
      </c>
      <c r="F85" s="1" t="n">
        <v>107</v>
      </c>
      <c r="G85" s="1" t="n">
        <v>1657</v>
      </c>
      <c r="H85" s="7" t="n">
        <f aca="false">F85/G85</f>
        <v>0.0645745322872662</v>
      </c>
      <c r="I85" s="1" t="n">
        <v>0</v>
      </c>
      <c r="J85" s="1" t="n">
        <v>107</v>
      </c>
      <c r="K85" s="7" t="n">
        <f aca="false">IF(J85&gt;0,I85/J85,"")</f>
        <v>0</v>
      </c>
    </row>
    <row r="86" customFormat="false" ht="15" hidden="false" customHeight="true" outlineLevel="0" collapsed="false">
      <c r="A86" s="1" t="s">
        <v>114</v>
      </c>
      <c r="B86" s="1" t="s">
        <v>117</v>
      </c>
      <c r="C86" s="1" t="s">
        <v>149</v>
      </c>
      <c r="D86" s="1" t="s">
        <v>207</v>
      </c>
      <c r="E86" s="1" t="s">
        <v>26</v>
      </c>
      <c r="F86" s="1" t="n">
        <v>391</v>
      </c>
      <c r="G86" s="1" t="n">
        <v>1657</v>
      </c>
      <c r="H86" s="7" t="n">
        <f aca="false">F86/G86</f>
        <v>0.235968617984309</v>
      </c>
      <c r="I86" s="1" t="n">
        <v>249</v>
      </c>
      <c r="J86" s="1" t="n">
        <v>264</v>
      </c>
      <c r="K86" s="7" t="n">
        <f aca="false">IF(J86&gt;0,I86/J86,"")</f>
        <v>0.943181818181818</v>
      </c>
    </row>
    <row r="87" customFormat="false" ht="15" hidden="false" customHeight="true" outlineLevel="0" collapsed="false">
      <c r="A87" s="1" t="s">
        <v>114</v>
      </c>
      <c r="B87" s="1" t="s">
        <v>120</v>
      </c>
      <c r="C87" s="1" t="s">
        <v>149</v>
      </c>
      <c r="D87" s="1" t="s">
        <v>207</v>
      </c>
      <c r="E87" s="1" t="s">
        <v>36</v>
      </c>
      <c r="F87" s="1" t="n">
        <v>360</v>
      </c>
      <c r="G87" s="1" t="n">
        <v>1657</v>
      </c>
      <c r="H87" s="7" t="n">
        <f aca="false">F87/G87</f>
        <v>0.217260108630054</v>
      </c>
      <c r="I87" s="1" t="n">
        <v>244</v>
      </c>
      <c r="J87" s="1" t="n">
        <v>264</v>
      </c>
      <c r="K87" s="7" t="n">
        <f aca="false">IF(J87&gt;0,I87/J87,"")</f>
        <v>0.924242424242424</v>
      </c>
    </row>
    <row r="88" customFormat="false" ht="15" hidden="false" customHeight="true" outlineLevel="0" collapsed="false">
      <c r="A88" s="1" t="s">
        <v>114</v>
      </c>
      <c r="B88" s="1" t="s">
        <v>123</v>
      </c>
      <c r="C88" s="1" t="s">
        <v>149</v>
      </c>
      <c r="D88" s="1" t="s">
        <v>207</v>
      </c>
      <c r="E88" s="1" t="s">
        <v>44</v>
      </c>
      <c r="F88" s="1" t="n">
        <v>363</v>
      </c>
      <c r="G88" s="1" t="n">
        <v>1657</v>
      </c>
      <c r="H88" s="7" t="n">
        <f aca="false">F88/G88</f>
        <v>0.219070609535305</v>
      </c>
      <c r="I88" s="1" t="n">
        <v>245</v>
      </c>
      <c r="J88" s="1" t="n">
        <v>264</v>
      </c>
      <c r="K88" s="7" t="n">
        <f aca="false">IF(J88&gt;0,I88/J88,"")</f>
        <v>0.928030303030303</v>
      </c>
    </row>
    <row r="89" customFormat="false" ht="15" hidden="false" customHeight="true" outlineLevel="0" collapsed="false">
      <c r="A89" s="1" t="s">
        <v>114</v>
      </c>
      <c r="B89" s="1" t="s">
        <v>116</v>
      </c>
      <c r="C89" s="1" t="s">
        <v>149</v>
      </c>
      <c r="D89" s="1" t="s">
        <v>207</v>
      </c>
      <c r="E89" s="1" t="s">
        <v>26</v>
      </c>
      <c r="F89" s="1" t="n">
        <v>203</v>
      </c>
      <c r="G89" s="1" t="n">
        <v>1657</v>
      </c>
      <c r="H89" s="7" t="n">
        <f aca="false">F89/G89</f>
        <v>0.122510561255281</v>
      </c>
      <c r="I89" s="1" t="n">
        <v>153</v>
      </c>
      <c r="J89" s="1" t="n">
        <v>214</v>
      </c>
      <c r="K89" s="7" t="n">
        <f aca="false">IF(J89&gt;0,I89/J89,"")</f>
        <v>0.714953271028037</v>
      </c>
    </row>
    <row r="90" customFormat="false" ht="15" hidden="false" customHeight="true" outlineLevel="0" collapsed="false">
      <c r="A90" s="1" t="s">
        <v>114</v>
      </c>
      <c r="B90" s="1" t="s">
        <v>119</v>
      </c>
      <c r="C90" s="1" t="s">
        <v>149</v>
      </c>
      <c r="D90" s="1" t="s">
        <v>207</v>
      </c>
      <c r="E90" s="1" t="s">
        <v>36</v>
      </c>
      <c r="F90" s="1" t="n">
        <v>168</v>
      </c>
      <c r="G90" s="1" t="n">
        <v>1657</v>
      </c>
      <c r="H90" s="7" t="n">
        <f aca="false">F90/G90</f>
        <v>0.101388050694025</v>
      </c>
      <c r="I90" s="1" t="n">
        <v>118</v>
      </c>
      <c r="J90" s="1" t="n">
        <v>214</v>
      </c>
      <c r="K90" s="7" t="n">
        <f aca="false">IF(J90&gt;0,I90/J90,"")</f>
        <v>0.551401869158879</v>
      </c>
    </row>
    <row r="91" customFormat="false" ht="15" hidden="false" customHeight="true" outlineLevel="0" collapsed="false">
      <c r="A91" s="1" t="s">
        <v>114</v>
      </c>
      <c r="B91" s="1" t="s">
        <v>122</v>
      </c>
      <c r="C91" s="1" t="s">
        <v>149</v>
      </c>
      <c r="D91" s="1" t="s">
        <v>207</v>
      </c>
      <c r="E91" s="1" t="s">
        <v>44</v>
      </c>
      <c r="F91" s="1" t="n">
        <v>160</v>
      </c>
      <c r="G91" s="1" t="n">
        <v>1657</v>
      </c>
      <c r="H91" s="7" t="n">
        <f aca="false">F91/G91</f>
        <v>0.0965600482800241</v>
      </c>
      <c r="I91" s="1" t="n">
        <v>110</v>
      </c>
      <c r="J91" s="1" t="n">
        <v>214</v>
      </c>
      <c r="K91" s="7" t="n">
        <f aca="false">IF(J91&gt;0,I91/J91,"")</f>
        <v>0.514018691588785</v>
      </c>
    </row>
    <row r="92" customFormat="false" ht="15" hidden="false" customHeight="true" outlineLevel="0" collapsed="false">
      <c r="A92" s="1" t="s">
        <v>114</v>
      </c>
      <c r="B92" s="1" t="s">
        <v>118</v>
      </c>
      <c r="C92" s="1" t="s">
        <v>149</v>
      </c>
      <c r="D92" s="1" t="s">
        <v>207</v>
      </c>
      <c r="E92" s="1" t="s">
        <v>26</v>
      </c>
      <c r="F92" s="1" t="n">
        <v>414</v>
      </c>
      <c r="G92" s="1" t="n">
        <v>1657</v>
      </c>
      <c r="H92" s="7" t="n">
        <f aca="false">F92/G92</f>
        <v>0.249849124924562</v>
      </c>
      <c r="I92" s="1" t="n">
        <v>92</v>
      </c>
      <c r="J92" s="1" t="n">
        <v>107</v>
      </c>
      <c r="K92" s="7" t="n">
        <f aca="false">IF(J92&gt;0,I92/J92,"")</f>
        <v>0.85981308411215</v>
      </c>
    </row>
    <row r="93" customFormat="false" ht="15" hidden="false" customHeight="true" outlineLevel="0" collapsed="false">
      <c r="A93" s="1" t="s">
        <v>114</v>
      </c>
      <c r="B93" s="1" t="s">
        <v>121</v>
      </c>
      <c r="C93" s="1" t="s">
        <v>149</v>
      </c>
      <c r="D93" s="1" t="s">
        <v>207</v>
      </c>
      <c r="E93" s="1" t="s">
        <v>36</v>
      </c>
      <c r="F93" s="1" t="n">
        <v>408</v>
      </c>
      <c r="G93" s="1" t="n">
        <v>1657</v>
      </c>
      <c r="H93" s="7" t="n">
        <f aca="false">F93/G93</f>
        <v>0.246228123114062</v>
      </c>
      <c r="I93" s="1" t="n">
        <v>91</v>
      </c>
      <c r="J93" s="1" t="n">
        <v>107</v>
      </c>
      <c r="K93" s="7" t="n">
        <f aca="false">IF(J93&gt;0,I93/J93,"")</f>
        <v>0.850467289719626</v>
      </c>
    </row>
    <row r="94" customFormat="false" ht="15" hidden="false" customHeight="true" outlineLevel="0" collapsed="false">
      <c r="A94" s="1" t="s">
        <v>114</v>
      </c>
      <c r="B94" s="1" t="s">
        <v>124</v>
      </c>
      <c r="C94" s="1" t="s">
        <v>149</v>
      </c>
      <c r="D94" s="1" t="s">
        <v>207</v>
      </c>
      <c r="E94" s="1" t="s">
        <v>44</v>
      </c>
      <c r="F94" s="1" t="n">
        <v>408</v>
      </c>
      <c r="G94" s="1" t="n">
        <v>1657</v>
      </c>
      <c r="H94" s="7" t="n">
        <f aca="false">F94/G94</f>
        <v>0.246228123114062</v>
      </c>
      <c r="I94" s="1" t="n">
        <v>91</v>
      </c>
      <c r="J94" s="1" t="n">
        <v>107</v>
      </c>
      <c r="K94" s="7" t="n">
        <f aca="false">IF(J94&gt;0,I94/J94,"")</f>
        <v>0.850467289719626</v>
      </c>
    </row>
    <row r="97" customFormat="false" ht="15" hidden="false" customHeight="true" outlineLevel="0" collapsed="false">
      <c r="A97" s="8" t="s">
        <v>208</v>
      </c>
    </row>
    <row r="98" customFormat="false" ht="15" hidden="false" customHeight="true" outlineLevel="0" collapsed="false">
      <c r="A98" s="8" t="s">
        <v>8</v>
      </c>
      <c r="B98" s="8" t="s">
        <v>10</v>
      </c>
      <c r="C98" s="8" t="s">
        <v>209</v>
      </c>
      <c r="D98" s="8" t="s">
        <v>210</v>
      </c>
      <c r="E98" s="8" t="s">
        <v>211</v>
      </c>
      <c r="F98" s="8" t="s">
        <v>212</v>
      </c>
      <c r="G98" s="8" t="s">
        <v>213</v>
      </c>
    </row>
    <row r="99" customFormat="false" ht="15" hidden="false" customHeight="true" outlineLevel="0" collapsed="false">
      <c r="A99" s="1" t="s">
        <v>24</v>
      </c>
      <c r="B99" s="1" t="s">
        <v>44</v>
      </c>
      <c r="C99" s="1" t="n">
        <v>69.6</v>
      </c>
      <c r="D99" s="1" t="n">
        <v>69.6</v>
      </c>
      <c r="E99" s="1" t="n">
        <v>9.9</v>
      </c>
      <c r="F99" s="1" t="n">
        <v>9.9</v>
      </c>
      <c r="G99" s="1" t="s">
        <v>214</v>
      </c>
    </row>
    <row r="100" customFormat="false" ht="15" hidden="false" customHeight="true" outlineLevel="0" collapsed="false">
      <c r="A100" s="1" t="s">
        <v>24</v>
      </c>
      <c r="B100" s="1" t="s">
        <v>36</v>
      </c>
      <c r="C100" s="1" t="n">
        <v>69.6</v>
      </c>
      <c r="D100" s="1" t="n">
        <v>69.6</v>
      </c>
      <c r="E100" s="1" t="n">
        <v>9.9</v>
      </c>
      <c r="F100" s="1" t="n">
        <v>9.9</v>
      </c>
    </row>
    <row r="101" customFormat="false" ht="15" hidden="false" customHeight="true" outlineLevel="0" collapsed="false">
      <c r="A101" s="1" t="s">
        <v>24</v>
      </c>
      <c r="B101" s="1" t="s">
        <v>26</v>
      </c>
      <c r="C101" s="1" t="n">
        <v>69.6</v>
      </c>
      <c r="D101" s="1" t="n">
        <v>69.6</v>
      </c>
      <c r="E101" s="1" t="n">
        <v>9.9</v>
      </c>
      <c r="F101" s="1" t="n">
        <v>9.9</v>
      </c>
    </row>
    <row r="102" customFormat="false" ht="15" hidden="false" customHeight="true" outlineLevel="0" collapsed="false">
      <c r="A102" s="1" t="s">
        <v>68</v>
      </c>
      <c r="B102" s="1" t="s">
        <v>44</v>
      </c>
      <c r="C102" s="1" t="n">
        <v>29</v>
      </c>
      <c r="D102" s="1" t="n">
        <v>26.3</v>
      </c>
      <c r="E102" s="1" t="n">
        <v>12.8</v>
      </c>
      <c r="F102" s="1" t="n">
        <v>11.8</v>
      </c>
    </row>
    <row r="103" customFormat="false" ht="15" hidden="false" customHeight="true" outlineLevel="0" collapsed="false">
      <c r="A103" s="1" t="s">
        <v>68</v>
      </c>
      <c r="B103" s="1" t="s">
        <v>36</v>
      </c>
      <c r="C103" s="1" t="n">
        <v>25.9</v>
      </c>
      <c r="D103" s="1" t="n">
        <v>30.2</v>
      </c>
      <c r="E103" s="1" t="n">
        <v>11.7</v>
      </c>
      <c r="F103" s="1" t="n">
        <v>12.3</v>
      </c>
    </row>
    <row r="104" customFormat="false" ht="15" hidden="false" customHeight="true" outlineLevel="0" collapsed="false">
      <c r="A104" s="1" t="s">
        <v>68</v>
      </c>
      <c r="B104" s="1" t="s">
        <v>26</v>
      </c>
      <c r="C104" s="1" t="n">
        <v>21.2</v>
      </c>
      <c r="D104" s="1" t="n">
        <v>28.7</v>
      </c>
      <c r="E104" s="1" t="n">
        <v>10.9</v>
      </c>
      <c r="F104" s="1" t="n">
        <v>12.7</v>
      </c>
      <c r="G104" s="1" t="s">
        <v>215</v>
      </c>
    </row>
    <row r="105" customFormat="false" ht="15" hidden="false" customHeight="true" outlineLevel="0" collapsed="false">
      <c r="A105" s="1" t="s">
        <v>91</v>
      </c>
      <c r="B105" s="1" t="s">
        <v>44</v>
      </c>
      <c r="C105" s="1" t="n">
        <v>26.6</v>
      </c>
      <c r="D105" s="1" t="n">
        <v>31.1</v>
      </c>
      <c r="E105" s="1" t="n">
        <v>9.3</v>
      </c>
      <c r="F105" s="1" t="n">
        <v>43</v>
      </c>
      <c r="G105" s="1" t="s">
        <v>216</v>
      </c>
    </row>
    <row r="106" customFormat="false" ht="15" hidden="false" customHeight="true" outlineLevel="0" collapsed="false">
      <c r="A106" s="1" t="s">
        <v>91</v>
      </c>
      <c r="B106" s="1" t="s">
        <v>36</v>
      </c>
      <c r="C106" s="1" t="n">
        <v>22.4</v>
      </c>
      <c r="D106" s="1" t="n">
        <v>6.2</v>
      </c>
      <c r="E106" s="1" t="n">
        <v>7.9</v>
      </c>
      <c r="F106" s="1" t="n">
        <v>28.9</v>
      </c>
      <c r="G106" s="1" t="s">
        <v>217</v>
      </c>
    </row>
    <row r="107" customFormat="false" ht="15" hidden="false" customHeight="true" outlineLevel="0" collapsed="false">
      <c r="A107" s="1" t="s">
        <v>91</v>
      </c>
      <c r="B107" s="1" t="s">
        <v>26</v>
      </c>
      <c r="C107" s="1" t="n">
        <v>28.1</v>
      </c>
      <c r="D107" s="1" t="n">
        <v>25.6</v>
      </c>
      <c r="E107" s="1" t="n">
        <v>9.8</v>
      </c>
      <c r="F107" s="1" t="n">
        <v>57.4</v>
      </c>
      <c r="G107" s="1" t="s">
        <v>218</v>
      </c>
    </row>
    <row r="108" customFormat="false" ht="15" hidden="false" customHeight="true" outlineLevel="0" collapsed="false">
      <c r="A108" s="1" t="s">
        <v>115</v>
      </c>
      <c r="B108" s="1" t="s">
        <v>44</v>
      </c>
      <c r="C108" s="1" t="n">
        <v>21.1</v>
      </c>
      <c r="D108" s="1" t="n">
        <v>40.4</v>
      </c>
      <c r="E108" s="1" t="n">
        <v>10</v>
      </c>
      <c r="F108" s="1" t="n">
        <v>18.7</v>
      </c>
      <c r="G108" s="1" t="s">
        <v>219</v>
      </c>
    </row>
    <row r="109" customFormat="false" ht="15" hidden="false" customHeight="true" outlineLevel="0" collapsed="false">
      <c r="A109" s="1" t="s">
        <v>115</v>
      </c>
      <c r="B109" s="1" t="s">
        <v>36</v>
      </c>
      <c r="C109" s="1" t="n">
        <v>24.4</v>
      </c>
      <c r="D109" s="1" t="n">
        <v>40.3</v>
      </c>
      <c r="E109" s="1" t="n">
        <v>11.1</v>
      </c>
      <c r="F109" s="1" t="n">
        <v>18.8</v>
      </c>
      <c r="G109" s="1" t="s">
        <v>220</v>
      </c>
    </row>
    <row r="110" customFormat="false" ht="15" hidden="false" customHeight="true" outlineLevel="0" collapsed="false">
      <c r="A110" s="1" t="s">
        <v>115</v>
      </c>
      <c r="B110" s="1" t="s">
        <v>26</v>
      </c>
      <c r="C110" s="1" t="n">
        <v>38.9</v>
      </c>
      <c r="D110" s="1" t="n">
        <v>41</v>
      </c>
      <c r="E110" s="1" t="n">
        <v>17.8</v>
      </c>
      <c r="F110" s="1" t="n">
        <v>20.3</v>
      </c>
      <c r="G110" s="1" t="s">
        <v>221</v>
      </c>
    </row>
    <row r="112" customFormat="false" ht="15" hidden="false" customHeight="true" outlineLevel="0" collapsed="false">
      <c r="A112" s="1" t="s">
        <v>222</v>
      </c>
    </row>
  </sheetData>
  <autoFilter ref="A1:K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2026-10-07T02:31:54Z</dcterms:created>
  <dc:creator>openpyxl</dc:creator>
  <dc:description/>
  <dc:language>en-US</dc:language>
  <cp:lastModifiedBy/>
  <dcterms:modified xsi:type="dcterms:W3CDTF">2026-10-07T17:39:15Z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